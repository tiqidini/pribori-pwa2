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ЦяКнига" defaultThemeVersion="124226"/>
  <xr:revisionPtr revIDLastSave="0" documentId="8_{9B92DCC7-9442-40B4-BD6B-191FB273D5D5}" xr6:coauthVersionLast="47" xr6:coauthVersionMax="47" xr10:uidLastSave="{00000000-0000-0000-0000-000000000000}"/>
  <bookViews>
    <workbookView xWindow="-98" yWindow="-98" windowWidth="21795" windowHeight="12345" tabRatio="767" xr2:uid="{00000000-000D-0000-FFFF-FFFF00000000}"/>
  </bookViews>
  <sheets>
    <sheet name="Загальний список" sheetId="14" r:id="rId1"/>
    <sheet name="Оперативний облік" sheetId="16" r:id="rId2"/>
    <sheet name="Службовий" sheetId="17" r:id="rId3"/>
  </sheets>
  <definedNames>
    <definedName name="_xlnm._FilterDatabase" localSheetId="0" hidden="1">'Загальний список'!$A$1:$BU$38</definedName>
    <definedName name="_xlnm.Print_Area" localSheetId="0">'Загальний список'!$A$2:$Y$38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4" i="14" l="1"/>
  <c r="W22" i="14"/>
  <c r="BV38" i="14"/>
  <c r="BV37" i="14"/>
  <c r="BV35" i="14"/>
  <c r="BV33" i="14"/>
  <c r="BV26" i="14"/>
  <c r="BV25" i="14"/>
  <c r="BV24" i="14"/>
  <c r="BV19" i="14"/>
  <c r="BV18" i="14"/>
  <c r="BV17" i="14"/>
  <c r="BV16" i="14"/>
  <c r="BV15" i="14"/>
  <c r="BV11" i="14"/>
  <c r="BV10" i="14"/>
  <c r="BV9" i="14"/>
  <c r="BV7" i="14"/>
  <c r="BV6" i="14"/>
  <c r="W33" i="14"/>
  <c r="W38" i="14" l="1"/>
  <c r="W21" i="14"/>
  <c r="AA21" i="14" s="1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W37" i="14"/>
  <c r="AA37" i="14" s="1"/>
  <c r="W36" i="14"/>
  <c r="AA36" i="14" s="1"/>
  <c r="W35" i="14"/>
  <c r="AA35" i="14" s="1"/>
  <c r="W34" i="14"/>
  <c r="AA34" i="14" s="1"/>
  <c r="AA33" i="14"/>
  <c r="W32" i="14"/>
  <c r="AA32" i="14" s="1"/>
  <c r="W31" i="14"/>
  <c r="AA31" i="14" s="1"/>
  <c r="W30" i="14"/>
  <c r="AA30" i="14" s="1"/>
  <c r="W29" i="14"/>
  <c r="AA29" i="14" s="1"/>
  <c r="W28" i="14"/>
  <c r="AA28" i="14" s="1"/>
  <c r="AA27" i="14"/>
  <c r="W26" i="14"/>
  <c r="AA26" i="14" s="1"/>
  <c r="W25" i="14"/>
  <c r="AA25" i="14" s="1"/>
  <c r="AA24" i="14"/>
  <c r="W23" i="14"/>
  <c r="AA23" i="14" s="1"/>
  <c r="AA22" i="14"/>
  <c r="W20" i="14"/>
  <c r="AA20" i="14" s="1"/>
  <c r="W19" i="14"/>
  <c r="AA19" i="14" s="1"/>
  <c r="W18" i="14"/>
  <c r="AA18" i="14" s="1"/>
  <c r="W17" i="14"/>
  <c r="AA17" i="14" s="1"/>
  <c r="W16" i="14"/>
  <c r="AA16" i="14" s="1"/>
  <c r="W15" i="14"/>
  <c r="AA15" i="14" s="1"/>
  <c r="W14" i="14"/>
  <c r="AA14" i="14" s="1"/>
  <c r="W13" i="14"/>
  <c r="AA13" i="14" s="1"/>
  <c r="W12" i="14"/>
  <c r="AA12" i="14" s="1"/>
  <c r="W11" i="14"/>
  <c r="AA11" i="14" s="1"/>
  <c r="W10" i="14"/>
  <c r="AA10" i="14" s="1"/>
  <c r="W9" i="14"/>
  <c r="AA9" i="14" s="1"/>
  <c r="W8" i="14"/>
  <c r="AA8" i="14" s="1"/>
  <c r="W7" i="14"/>
  <c r="AA7" i="14" s="1"/>
  <c r="W6" i="14"/>
  <c r="AA6" i="14" s="1"/>
  <c r="W5" i="14"/>
  <c r="AA5" i="14" s="1"/>
  <c r="J1" i="14"/>
</calcChain>
</file>

<file path=xl/sharedStrings.xml><?xml version="1.0" encoding="utf-8"?>
<sst xmlns="http://schemas.openxmlformats.org/spreadsheetml/2006/main" count="776" uniqueCount="332">
  <si>
    <t>Межі вимірювань</t>
  </si>
  <si>
    <t>Код
ВК 001-2000</t>
  </si>
  <si>
    <t>Підлягає калібруванню,повірці</t>
  </si>
  <si>
    <t>Заплановано відкалібрувати</t>
  </si>
  <si>
    <t>на ремонт</t>
  </si>
  <si>
    <t>В І Д К А Л І Б РО В А Н О</t>
  </si>
  <si>
    <t>ВІДРЕМОНТОВАНО</t>
  </si>
  <si>
    <t>Генератор сигналів високочастотний</t>
  </si>
  <si>
    <t>Б2-3</t>
  </si>
  <si>
    <t>Осцилограф універсальний</t>
  </si>
  <si>
    <t>-</t>
  </si>
  <si>
    <t>після ремонту</t>
  </si>
  <si>
    <t>Мілівольтметр</t>
  </si>
  <si>
    <t>В3-59</t>
  </si>
  <si>
    <t>Частотомір електронно-лічильний</t>
  </si>
  <si>
    <t>Г4-111</t>
  </si>
  <si>
    <t>И1-12</t>
  </si>
  <si>
    <t>И1-15</t>
  </si>
  <si>
    <t>М3-22А</t>
  </si>
  <si>
    <t>Г6-17</t>
  </si>
  <si>
    <t>ТИП</t>
  </si>
  <si>
    <t>БРАК</t>
  </si>
  <si>
    <t>Золото</t>
  </si>
  <si>
    <t>Серебро</t>
  </si>
  <si>
    <t>Платина</t>
  </si>
  <si>
    <t>МПГ</t>
  </si>
  <si>
    <t>МПГ родий</t>
  </si>
  <si>
    <t>Категорія</t>
  </si>
  <si>
    <t>?</t>
  </si>
  <si>
    <t>Сегодня</t>
  </si>
  <si>
    <t>Найменування</t>
  </si>
  <si>
    <t>Завод. №</t>
  </si>
  <si>
    <t>Рік виготовлення</t>
  </si>
  <si>
    <t>Міжповірочний інтервал</t>
  </si>
  <si>
    <t>Дата останьої повірки або забракування</t>
  </si>
  <si>
    <t>Дата наступної повірки</t>
  </si>
  <si>
    <t>Служебый код</t>
  </si>
  <si>
    <t>Прім.</t>
  </si>
  <si>
    <t>Стабілізатор напруги мережі</t>
  </si>
  <si>
    <t>Д61Л2003Y</t>
  </si>
  <si>
    <t>Д6123061Y</t>
  </si>
  <si>
    <t>Мілівольтметр цифровий широкополосний</t>
  </si>
  <si>
    <t>Д61К4104Y</t>
  </si>
  <si>
    <t>Д6151007Y</t>
  </si>
  <si>
    <t>Д6151009Y</t>
  </si>
  <si>
    <t>Д6193026Y</t>
  </si>
  <si>
    <t>Г5-75</t>
  </si>
  <si>
    <t>Ч3-54</t>
  </si>
  <si>
    <t>Д6133050Y</t>
  </si>
  <si>
    <t>Картка некомплектності</t>
  </si>
  <si>
    <t>Нефрас С4-50/170</t>
  </si>
  <si>
    <t>Гас для технічних потреб</t>
  </si>
  <si>
    <t>Масло трансформаторне</t>
  </si>
  <si>
    <t>Масло гідравлічне АУП</t>
  </si>
  <si>
    <t>Масло МЦ-3</t>
  </si>
  <si>
    <t>Масло 132-08</t>
  </si>
  <si>
    <t>Мастило ПВК</t>
  </si>
  <si>
    <t>Мастило  ЦИАТИМ-201</t>
  </si>
  <si>
    <t>Спирт етиловий ректифікований технічний</t>
  </si>
  <si>
    <t>Повірка, атестація</t>
  </si>
  <si>
    <t>Регламент, експлуатація</t>
  </si>
  <si>
    <t>Обслуговування</t>
  </si>
  <si>
    <t>Масло ВМ-3</t>
  </si>
  <si>
    <t>Місце калібрування</t>
  </si>
  <si>
    <t xml:space="preserve">Клас
(розряд)
</t>
  </si>
  <si>
    <t>Технічний опис</t>
  </si>
  <si>
    <t>А1124</t>
  </si>
  <si>
    <t>Д61К5067Y</t>
  </si>
  <si>
    <t>Пункт норми №100 наказу 01</t>
  </si>
  <si>
    <t>№ Свідоцтва</t>
  </si>
  <si>
    <t>№ з/п</t>
  </si>
  <si>
    <t>№ робочого місця</t>
  </si>
  <si>
    <t>Робочий Еталон (ДПКО) для 2МС</t>
  </si>
  <si>
    <t>№ кімнати</t>
  </si>
  <si>
    <t>Прізвище</t>
  </si>
  <si>
    <t>Де знаходиться ЗВТ</t>
  </si>
  <si>
    <t>Найменування + ТИП</t>
  </si>
  <si>
    <t>ФОРМУЛЯР (ПАСПОРТ)</t>
  </si>
  <si>
    <t>данні ООГ</t>
  </si>
  <si>
    <t>В3-41</t>
  </si>
  <si>
    <t>Д6123044Y</t>
  </si>
  <si>
    <t>№6957</t>
  </si>
  <si>
    <t>№0763</t>
  </si>
  <si>
    <t>Вольтметр універсальний швидкодіючий</t>
  </si>
  <si>
    <t>В7-43</t>
  </si>
  <si>
    <t>Д6127059Y</t>
  </si>
  <si>
    <t>№005090</t>
  </si>
  <si>
    <t>Вимірювач потужності термісторний</t>
  </si>
  <si>
    <t>№0769</t>
  </si>
  <si>
    <t>№0326</t>
  </si>
  <si>
    <t xml:space="preserve">Частотомір електронно-лічильний </t>
  </si>
  <si>
    <t>№5011195</t>
  </si>
  <si>
    <t>Ч3-66</t>
  </si>
  <si>
    <t>Д6133062Y</t>
  </si>
  <si>
    <t>№9307038</t>
  </si>
  <si>
    <t>Вимірювач різниці фаз та відношення рівнів</t>
  </si>
  <si>
    <t>ФК2-33</t>
  </si>
  <si>
    <t>Д6142028Y</t>
  </si>
  <si>
    <t>№0100/0117</t>
  </si>
  <si>
    <t>№0095/0080</t>
  </si>
  <si>
    <t>С1-99</t>
  </si>
  <si>
    <t>Д6161109Y</t>
  </si>
  <si>
    <t>№К01248</t>
  </si>
  <si>
    <t xml:space="preserve">Аналiзатор спектра </t>
  </si>
  <si>
    <t>С4-60</t>
  </si>
  <si>
    <t>Д6164040Y</t>
  </si>
  <si>
    <t>№9803004/9602044/9602013</t>
  </si>
  <si>
    <t xml:space="preserve">Осцилограф обчислювальний стробоскопічний прецизійний </t>
  </si>
  <si>
    <t>С9-9</t>
  </si>
  <si>
    <t>Д6169008Y</t>
  </si>
  <si>
    <t>№0000590</t>
  </si>
  <si>
    <t>№0002989</t>
  </si>
  <si>
    <t xml:space="preserve">Генератор перепаду напруги </t>
  </si>
  <si>
    <t>№030</t>
  </si>
  <si>
    <t xml:space="preserve">Генератор випробувальних імпульсів </t>
  </si>
  <si>
    <t>№11014</t>
  </si>
  <si>
    <t xml:space="preserve">Прилад для повірки вимірювачів напруженості електромагнітного поля </t>
  </si>
  <si>
    <t>П1-8</t>
  </si>
  <si>
    <t>Д61А1008Y</t>
  </si>
  <si>
    <t>№09013</t>
  </si>
  <si>
    <t>Г4-102А</t>
  </si>
  <si>
    <t>Д61К4094Y</t>
  </si>
  <si>
    <t>№7526</t>
  </si>
  <si>
    <t>№250116</t>
  </si>
  <si>
    <t>Г4-116</t>
  </si>
  <si>
    <t>Д61К4110Y</t>
  </si>
  <si>
    <t>№3780</t>
  </si>
  <si>
    <t xml:space="preserve">Генератор імпульсів точної амплітуди </t>
  </si>
  <si>
    <t>№16937</t>
  </si>
  <si>
    <t xml:space="preserve">Генератор сигналів спеціальної форми </t>
  </si>
  <si>
    <t>Д61К5080Y</t>
  </si>
  <si>
    <t>№03380</t>
  </si>
  <si>
    <t>Г6-37</t>
  </si>
  <si>
    <t>Д61К6018Y</t>
  </si>
  <si>
    <t>№3626</t>
  </si>
  <si>
    <t>РГ4-03</t>
  </si>
  <si>
    <t>Д61К4181Y</t>
  </si>
  <si>
    <t>№9201010</t>
  </si>
  <si>
    <t>РГ4-04</t>
  </si>
  <si>
    <t>Д61К4182Y</t>
  </si>
  <si>
    <t>№9010033</t>
  </si>
  <si>
    <t>РГ4-05</t>
  </si>
  <si>
    <t>Д61К4183Y</t>
  </si>
  <si>
    <t>№9010028</t>
  </si>
  <si>
    <t>РГ4-06</t>
  </si>
  <si>
    <t>Д61К4184Y</t>
  </si>
  <si>
    <t>№507504</t>
  </si>
  <si>
    <t>РГ4-07</t>
  </si>
  <si>
    <t>Д61К4185Y</t>
  </si>
  <si>
    <t>№507204</t>
  </si>
  <si>
    <t>РГ4-08</t>
  </si>
  <si>
    <t>Д61К4186Y</t>
  </si>
  <si>
    <t>№402114</t>
  </si>
  <si>
    <t>№12167</t>
  </si>
  <si>
    <t>№11</t>
  </si>
  <si>
    <t>Комплект нестандартного обладнання для повірки вимірювачів щільності потоку НВЧ потужності типу ПО-1</t>
  </si>
  <si>
    <t>ПО-1</t>
  </si>
  <si>
    <t xml:space="preserve">Термогігрометр </t>
  </si>
  <si>
    <t>Testo 608-Н1</t>
  </si>
  <si>
    <t>№45007784/410</t>
  </si>
  <si>
    <t>№45025518/503</t>
  </si>
  <si>
    <t>Осцилограф Tektronix</t>
  </si>
  <si>
    <t>TDS 3054C</t>
  </si>
  <si>
    <t>№В020713</t>
  </si>
  <si>
    <t>Інвентарний</t>
  </si>
  <si>
    <t>місце знаходження ЗІП</t>
  </si>
  <si>
    <t>невідомо</t>
  </si>
  <si>
    <t>є</t>
  </si>
  <si>
    <t>вик.</t>
  </si>
  <si>
    <t>ф</t>
  </si>
  <si>
    <t>нова</t>
  </si>
  <si>
    <t>шукаємо</t>
  </si>
  <si>
    <t>нейшов</t>
  </si>
  <si>
    <t>стара</t>
  </si>
  <si>
    <t>списано</t>
  </si>
  <si>
    <t>п</t>
  </si>
  <si>
    <t>Дуболазов</t>
  </si>
  <si>
    <t>переробити</t>
  </si>
  <si>
    <t>шукати</t>
  </si>
  <si>
    <t>списання</t>
  </si>
  <si>
    <t>Наявність ЗІП</t>
  </si>
  <si>
    <t>ЯЩИК</t>
  </si>
  <si>
    <t>Фактична категорія</t>
  </si>
  <si>
    <t>Вартість, грн.</t>
  </si>
  <si>
    <t>ВИД ЗВТ</t>
  </si>
  <si>
    <t>Вид ЗВТ для 2МС</t>
  </si>
  <si>
    <t>В3-59 №0763</t>
  </si>
  <si>
    <t>В7-43 №005090</t>
  </si>
  <si>
    <t>М3-22А №0326</t>
  </si>
  <si>
    <t>Ч3-54 №5011195</t>
  </si>
  <si>
    <t>Ч3-66 №9307038</t>
  </si>
  <si>
    <t>С4-60 №9803004/9602044/9602013</t>
  </si>
  <si>
    <t>С9-9 №0000590</t>
  </si>
  <si>
    <t>С9-9 №0002989</t>
  </si>
  <si>
    <t>И1-12 №030</t>
  </si>
  <si>
    <t>И1-15 №11014</t>
  </si>
  <si>
    <t>Г5-75 №16937</t>
  </si>
  <si>
    <t>Г6-17 №03380</t>
  </si>
  <si>
    <t>Г6-37 №3626</t>
  </si>
  <si>
    <t>Б2-3 №12167</t>
  </si>
  <si>
    <t>TDS 3054C №В020713</t>
  </si>
  <si>
    <t>ТИП + НОМЕР</t>
  </si>
  <si>
    <t>В3-41 №6957</t>
  </si>
  <si>
    <t>М3-22А №0769</t>
  </si>
  <si>
    <t>ФК2-33 №0100/0117</t>
  </si>
  <si>
    <t>ФК2-33 №0095/0080</t>
  </si>
  <si>
    <t>С1-99 №К01248</t>
  </si>
  <si>
    <t>П1-8 №09013</t>
  </si>
  <si>
    <t>Г4-102А №7526</t>
  </si>
  <si>
    <t>Г4-111 №250116</t>
  </si>
  <si>
    <t>Г4-116 №3780</t>
  </si>
  <si>
    <t>РГ4-03 №9201010</t>
  </si>
  <si>
    <t>РГ4-04 №9010033</t>
  </si>
  <si>
    <t>РГ4-05 №9010028</t>
  </si>
  <si>
    <t>РГ4-06 №507504</t>
  </si>
  <si>
    <t>РГ4-07 №507204</t>
  </si>
  <si>
    <t>РГ4-08 №402114</t>
  </si>
  <si>
    <t>ПО-1 №11</t>
  </si>
  <si>
    <t>Testo 608-Н1 №45007784/410</t>
  </si>
  <si>
    <t>Testo 608-Н1 №45025518/503</t>
  </si>
  <si>
    <t>НДВВЕ</t>
  </si>
  <si>
    <t>радіо</t>
  </si>
  <si>
    <t>РВП</t>
  </si>
  <si>
    <t>ВПР РВП</t>
  </si>
  <si>
    <t>Інші</t>
  </si>
  <si>
    <t>0,1 Гц – 300 МГц; 0,1 мкс – 10⁻⁵ с; (0,1 –10) В</t>
  </si>
  <si>
    <t>0,265 мВ - 300 В
10 Гц - 100 МГц</t>
  </si>
  <si>
    <t>±[0,4+0,2(Uп/Ux-1)]</t>
  </si>
  <si>
    <t>(6 – 17,85) ГГц</t>
  </si>
  <si>
    <t>метеорологічні</t>
  </si>
  <si>
    <t>±0,15 Tп;  ±0,2 τи</t>
  </si>
  <si>
    <t>±(0,1τ+0,01) мкс;  ±0,1 Т</t>
  </si>
  <si>
    <t>Т=  0,1 мкс÷9,99 мс; 
U= 10 мВ÷9,99 В, 
tн= 50 нс÷1 с</t>
  </si>
  <si>
    <t>± 1,5 %</t>
  </si>
  <si>
    <t>Uвих 220 В,
3,8 А, 1500 ВА</t>
  </si>
  <si>
    <t>±10 %</t>
  </si>
  <si>
    <t>±0,1 %
±1 %
±0,1 %</t>
  </si>
  <si>
    <t>зі складу ВВЕТУ</t>
  </si>
  <si>
    <t>РЕ</t>
  </si>
  <si>
    <t>ДПКО</t>
  </si>
  <si>
    <t>є (антени переносчики відсутні)</t>
  </si>
  <si>
    <t xml:space="preserve">є </t>
  </si>
  <si>
    <t>(0,05–1,10) ГГц</t>
  </si>
  <si>
    <t>1 розряд</t>
  </si>
  <si>
    <t>Списання /склад/</t>
  </si>
  <si>
    <t>ВПР ЕВіТМП</t>
  </si>
  <si>
    <t>(5·10⁻⁶ – 10÷⁻²) Вт, (0,03 – 53,6) ГГц</t>
  </si>
  <si>
    <t>± (6 - 25) %</t>
  </si>
  <si>
    <t>± 0,1 %</t>
  </si>
  <si>
    <t>(10 ÷ 95) %
(0 ÷ 50) °С</t>
  </si>
  <si>
    <t>±3%
±0,5°С</t>
  </si>
  <si>
    <t>± (2,5 - 10) %</t>
  </si>
  <si>
    <t>0,3 мВ -300 В;
20 Гц -10 МГц</t>
  </si>
  <si>
    <t>0 - 500 МГц</t>
  </si>
  <si>
    <t>для 0,1 В
± (0,15+0,06·[(UК/ UХ)-1])
для 1 В
± (0,1+0,04·[(UК/ UХ)-1])
для 10 В, 100 В, 1000В
± (0,15+0,06·[(UК/ UХ)-1])
для 0,1 В
±(0,5+0,2·[(UК/ UХ)-1])
для 1 В, 10 В, 100В, 1000 В
±(0,5+0,1·[(UК/ UХ)-1])</t>
  </si>
  <si>
    <t>± 5 %</t>
  </si>
  <si>
    <t>(0 – 360)°
(2 – 4) ГГц</t>
  </si>
  <si>
    <t>(0,01 - 39,6) ГГц</t>
  </si>
  <si>
    <t>(0- 18) ГГц
10 мВ – 1 В</t>
  </si>
  <si>
    <t>± (0,2+0,5·Dp/Dx) %
± (0,3+0,8·Uo/Ux+0,2/Ux) %</t>
  </si>
  <si>
    <t>τи (0,1  – 10) мкс;
Т (0,01 – 100) мс</t>
  </si>
  <si>
    <t>(0,1 – 50) МГц
0,1 мкв – 500 Мв</t>
  </si>
  <si>
    <t>± 1,0 %
± 12 %</t>
  </si>
  <si>
    <t>(4,0 – 300) МГц
0,1 мкВ – 0,5В</t>
  </si>
  <si>
    <t>± 1,0 %
± 1 дБ</t>
  </si>
  <si>
    <t>(1 - 4000) МГц; ≥ 2 В,
50 Ом</t>
  </si>
  <si>
    <t>0,001 Гц – 20 МГц
5 В, (50±0,5) Ом</t>
  </si>
  <si>
    <t>(1,1 – 2,0) ГГц</t>
  </si>
  <si>
    <t>± 0,5 %</t>
  </si>
  <si>
    <t>(2,0 – 3,2) ГГц</t>
  </si>
  <si>
    <t>(3,2 – 5,6) ГГц</t>
  </si>
  <si>
    <t>(5,6 – 8,15) ГГц</t>
  </si>
  <si>
    <t>(8,15 – 12,6) ГГц</t>
  </si>
  <si>
    <t>допом</t>
  </si>
  <si>
    <t>ВЕЗСУ 09-00-05-09</t>
  </si>
  <si>
    <t>(0 –100) МГц
2 мВ/под ÷ 5 В/под
5 нс/под ÷50 мс/под</t>
  </si>
  <si>
    <t>ВЕЗСУ 09-00-04-09</t>
  </si>
  <si>
    <t>наявність за ФІН обліком</t>
  </si>
  <si>
    <r>
      <t xml:space="preserve">наявність за  обліком </t>
    </r>
    <r>
      <rPr>
        <b/>
        <sz val="11"/>
        <color theme="1"/>
        <rFont val="Calibri"/>
        <family val="2"/>
        <charset val="204"/>
        <scheme val="minor"/>
      </rPr>
      <t>(ЗВТ)</t>
    </r>
  </si>
  <si>
    <t>Мілівольтметр В3-41</t>
  </si>
  <si>
    <t>Мілівольтметр цифровий широкополосний В3-59</t>
  </si>
  <si>
    <t>Вольтметр універсальний швидкодіючий В7-43</t>
  </si>
  <si>
    <t>Вимірювач потужності термісторний М3-22А</t>
  </si>
  <si>
    <t>Частотомір електронно-лічильний  Ч3-54</t>
  </si>
  <si>
    <t>Частотомір електронно-лічильний Ч3-66</t>
  </si>
  <si>
    <t>Вимірювач різниці фаз та відношення рівнів ФК2-33</t>
  </si>
  <si>
    <t>Осцилограф універсальний С1-99</t>
  </si>
  <si>
    <t>Аналiзатор спектра  С4-60</t>
  </si>
  <si>
    <t>Осцилограф обчислювальний стробоскопічний прецизійний  С9-9</t>
  </si>
  <si>
    <t>Генератор перепаду напруги  И1-12</t>
  </si>
  <si>
    <t>Генератор випробувальних імпульсів  И1-15</t>
  </si>
  <si>
    <t>Прилад для повірки вимірювачів напруженості електромагнітного поля  П1-8</t>
  </si>
  <si>
    <t>Генератор сигналів високочастотний Г4-102А</t>
  </si>
  <si>
    <t>Генератор сигналів високочастотний Г4-111</t>
  </si>
  <si>
    <t>Генератор сигналів високочастотний Г4-116</t>
  </si>
  <si>
    <t>Генератор імпульсів точної амплітуди  Г5-75</t>
  </si>
  <si>
    <t>Генератор сигналів спеціальної форми  Г6-17</t>
  </si>
  <si>
    <t>Генератор сигналів спеціальної форми  Г6-37</t>
  </si>
  <si>
    <t>Генератор сигналів високочастотний РГ4-03</t>
  </si>
  <si>
    <t>Генератор сигналів високочастотний РГ4-04</t>
  </si>
  <si>
    <t>Генератор сигналів високочастотний РГ4-05</t>
  </si>
  <si>
    <t>Генератор сигналів високочастотний РГ4-06</t>
  </si>
  <si>
    <t>Генератор сигналів високочастотний РГ4-07</t>
  </si>
  <si>
    <t>Генератор сигналів високочастотний РГ4-08</t>
  </si>
  <si>
    <t>Стабілізатор напруги мережі Б2-3</t>
  </si>
  <si>
    <t>Комплект нестандартного обладнання для повірки вимірювачів щільності потоку НВЧ потужності типу ПО-1 ПО-1</t>
  </si>
  <si>
    <t>Термогігрометр  Testo 608-Н1</t>
  </si>
  <si>
    <t>Осцилограф Tektronix TDS 3054C</t>
  </si>
  <si>
    <t>Заланована повірка на червень 2023</t>
  </si>
  <si>
    <t>+</t>
  </si>
  <si>
    <t>червень</t>
  </si>
  <si>
    <t>брак</t>
  </si>
  <si>
    <t xml:space="preserve">Генератор R&amp;S </t>
  </si>
  <si>
    <t>HMF 2550</t>
  </si>
  <si>
    <t>№104609</t>
  </si>
  <si>
    <t>Генератор R&amp;S HMF 2550</t>
  </si>
  <si>
    <t>HMF 2550 №104609</t>
  </si>
  <si>
    <t>ТО1 2024</t>
  </si>
  <si>
    <t>ТО2 2024</t>
  </si>
  <si>
    <t>129/92</t>
  </si>
  <si>
    <t>Тп (0,01 – 10) мс; τи (0,01 – 5) мкс; τф ≤ 50 пc</t>
  </si>
  <si>
    <t>10 мкГц ÷50 МГц
5 мВ÷10 В
15 нс÷999 с</t>
  </si>
  <si>
    <r>
      <t>(0,3 – 16,7) ГГц
  (0 – 20) мкВт/см</t>
    </r>
    <r>
      <rPr>
        <vertAlign val="superscript"/>
        <sz val="12"/>
        <color rgb="FF000000"/>
        <rFont val="Times New Roman"/>
        <family val="1"/>
        <charset val="204"/>
      </rPr>
      <t>2</t>
    </r>
  </si>
  <si>
    <r>
      <t>±1x10⁻</t>
    </r>
    <r>
      <rPr>
        <vertAlign val="superscript"/>
        <sz val="12"/>
        <color rgb="FF000000"/>
        <rFont val="Times New Roman"/>
        <family val="1"/>
        <charset val="204"/>
      </rPr>
      <t>6</t>
    </r>
    <r>
      <rPr>
        <sz val="12"/>
        <color indexed="8"/>
        <rFont val="Times New Roman"/>
        <family val="1"/>
        <charset val="204"/>
      </rPr>
      <t xml:space="preserve">
±(0,01xUpp+1мВ)</t>
    </r>
  </si>
  <si>
    <t>± 5·10⁻⁷</t>
  </si>
  <si>
    <t>10 Гц ÷ 37,5 ГГц</t>
  </si>
  <si>
    <t>±5·10⁻⁷</t>
  </si>
  <si>
    <t>± 3°</t>
  </si>
  <si>
    <t>± 10⁻² f  %</t>
  </si>
  <si>
    <t>10⁻²</t>
  </si>
  <si>
    <t>(0,3 – 16,7) ГГц
(0 – 20) мкВт/см²</t>
  </si>
  <si>
    <t>-U= 10 мкВ-1000В
~U= 1 мВ-1000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</si>
</sst>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d/m;@"/>
    <numFmt numFmtId="166" formatCode="dd\.mm\.yy;@"/>
    <numFmt numFmtId="167" formatCode="0.000000000"/>
  </numFmts>
  <fonts count="24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Arial Cyr"/>
      <family val="2"/>
      <charset val="204"/>
    </font>
    <font>
      <sz val="10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sz val="10"/>
      <name val="Arial Cyr"/>
      <family val="2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 Cyr"/>
      <charset val="204"/>
    </font>
    <font>
      <sz val="10"/>
      <name val="Arial Narrow"/>
      <family val="2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0"/>
      <name val="Arial Cyr"/>
      <charset val="204"/>
    </font>
    <font>
      <b/>
      <sz val="14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sz val="10"/>
      <color indexed="8"/>
      <name val="Arial Narrow"/>
      <family val="2"/>
      <charset val="204"/>
    </font>
    <font>
      <b/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6" fillId="0" borderId="0"/>
  </cellStyleXfs>
  <cellXfs count="179">
    <xf numFmtId="0" fontId="0" fillId="0" borderId="0" xfId="0"/>
    <xf numFmtId="0" fontId="9" fillId="8" borderId="0" xfId="0" applyFont="1" applyFill="1"/>
    <xf numFmtId="14" fontId="9" fillId="12" borderId="0" xfId="0" applyNumberFormat="1" applyFont="1" applyFill="1"/>
    <xf numFmtId="14" fontId="9" fillId="8" borderId="0" xfId="0" applyNumberFormat="1" applyFont="1" applyFill="1"/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1" fontId="9" fillId="0" borderId="0" xfId="0" applyNumberFormat="1" applyFont="1"/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" fontId="5" fillId="0" borderId="0" xfId="0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/>
    </xf>
    <xf numFmtId="0" fontId="0" fillId="0" borderId="7" xfId="0" applyBorder="1" applyAlignment="1">
      <alignment textRotation="90"/>
    </xf>
    <xf numFmtId="0" fontId="9" fillId="0" borderId="7" xfId="0" applyFont="1" applyBorder="1"/>
    <xf numFmtId="0" fontId="6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165" fontId="5" fillId="10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/>
    </xf>
    <xf numFmtId="16" fontId="5" fillId="10" borderId="2" xfId="0" applyNumberFormat="1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1" fontId="4" fillId="10" borderId="2" xfId="0" applyNumberFormat="1" applyFont="1" applyFill="1" applyBorder="1" applyAlignment="1">
      <alignment horizontal="center"/>
    </xf>
    <xf numFmtId="2" fontId="4" fillId="10" borderId="2" xfId="0" applyNumberFormat="1" applyFont="1" applyFill="1" applyBorder="1" applyAlignment="1">
      <alignment horizontal="center"/>
    </xf>
    <xf numFmtId="14" fontId="10" fillId="8" borderId="7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7" fillId="0" borderId="0" xfId="0" applyFont="1"/>
    <xf numFmtId="0" fontId="1" fillId="8" borderId="2" xfId="0" applyFont="1" applyFill="1" applyBorder="1" applyAlignment="1">
      <alignment horizontal="center" vertical="center" textRotation="90" wrapText="1"/>
    </xf>
    <xf numFmtId="0" fontId="1" fillId="4" borderId="2" xfId="0" applyFont="1" applyFill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1" fontId="7" fillId="10" borderId="2" xfId="0" applyNumberFormat="1" applyFont="1" applyFill="1" applyBorder="1"/>
    <xf numFmtId="9" fontId="5" fillId="10" borderId="2" xfId="0" applyNumberFormat="1" applyFont="1" applyFill="1" applyBorder="1" applyAlignment="1">
      <alignment horizontal="center" vertical="center" wrapText="1"/>
    </xf>
    <xf numFmtId="167" fontId="1" fillId="10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/>
    <xf numFmtId="0" fontId="6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/>
    <xf numFmtId="0" fontId="6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" fontId="5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9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8" fillId="0" borderId="2" xfId="0" applyFont="1" applyBorder="1" applyAlignment="1" applyProtection="1">
      <alignment horizontal="center" vertical="center" wrapText="1"/>
      <protection locked="0"/>
    </xf>
    <xf numFmtId="14" fontId="19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 applyProtection="1">
      <alignment horizontal="center" vertical="center" wrapText="1"/>
      <protection locked="0"/>
    </xf>
    <xf numFmtId="164" fontId="8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14" fontId="2" fillId="17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1" fontId="18" fillId="0" borderId="2" xfId="0" applyNumberFormat="1" applyFont="1" applyBorder="1" applyAlignment="1" applyProtection="1">
      <alignment horizontal="center" vertical="center"/>
      <protection locked="0"/>
    </xf>
    <xf numFmtId="14" fontId="18" fillId="0" borderId="2" xfId="0" applyNumberFormat="1" applyFont="1" applyBorder="1" applyAlignment="1" applyProtection="1">
      <alignment horizontal="center" vertical="center" wrapText="1"/>
      <protection locked="0"/>
    </xf>
    <xf numFmtId="0" fontId="20" fillId="1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14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8" fillId="3" borderId="2" xfId="0" applyNumberFormat="1" applyFont="1" applyFill="1" applyBorder="1" applyAlignment="1" applyProtection="1">
      <alignment horizontal="center" vertical="center"/>
      <protection locked="0"/>
    </xf>
    <xf numFmtId="164" fontId="8" fillId="3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23" fillId="12" borderId="0" xfId="0" applyFont="1" applyFill="1" applyAlignment="1">
      <alignment horizontal="center" vertical="center"/>
    </xf>
    <xf numFmtId="14" fontId="23" fillId="12" borderId="0" xfId="0" applyNumberFormat="1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10" fillId="8" borderId="4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textRotation="90"/>
    </xf>
    <xf numFmtId="0" fontId="9" fillId="0" borderId="5" xfId="0" applyFont="1" applyBorder="1" applyAlignment="1">
      <alignment horizontal="center" textRotation="90"/>
    </xf>
    <xf numFmtId="14" fontId="10" fillId="8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 textRotation="90" wrapText="1" shrinkToFit="1"/>
    </xf>
    <xf numFmtId="1" fontId="9" fillId="10" borderId="5" xfId="0" applyNumberFormat="1" applyFont="1" applyFill="1" applyBorder="1" applyAlignment="1">
      <alignment horizontal="center" vertical="center" textRotation="90" wrapText="1" shrinkToFit="1"/>
    </xf>
    <xf numFmtId="1" fontId="11" fillId="6" borderId="1" xfId="0" applyNumberFormat="1" applyFont="1" applyFill="1" applyBorder="1" applyAlignment="1">
      <alignment horizontal="center" vertical="center" textRotation="90" wrapText="1" shrinkToFit="1"/>
    </xf>
    <xf numFmtId="1" fontId="11" fillId="6" borderId="5" xfId="0" applyNumberFormat="1" applyFont="1" applyFill="1" applyBorder="1" applyAlignment="1">
      <alignment horizontal="center" vertical="center" textRotation="90" wrapText="1" shrinkToFit="1"/>
    </xf>
    <xf numFmtId="1" fontId="11" fillId="9" borderId="1" xfId="0" applyNumberFormat="1" applyFont="1" applyFill="1" applyBorder="1" applyAlignment="1">
      <alignment horizontal="center" vertical="center" textRotation="90" wrapText="1" shrinkToFit="1"/>
    </xf>
    <xf numFmtId="1" fontId="11" fillId="9" borderId="5" xfId="0" applyNumberFormat="1" applyFont="1" applyFill="1" applyBorder="1" applyAlignment="1">
      <alignment horizontal="center" vertical="center" textRotation="90" wrapText="1" shrinkToFit="1"/>
    </xf>
    <xf numFmtId="1" fontId="9" fillId="7" borderId="1" xfId="0" applyNumberFormat="1" applyFont="1" applyFill="1" applyBorder="1" applyAlignment="1">
      <alignment horizontal="center" vertical="center" textRotation="90" wrapText="1" shrinkToFit="1"/>
    </xf>
    <xf numFmtId="1" fontId="9" fillId="7" borderId="5" xfId="0" applyNumberFormat="1" applyFont="1" applyFill="1" applyBorder="1" applyAlignment="1">
      <alignment horizontal="center" vertical="center" textRotation="90" wrapText="1" shrinkToFit="1"/>
    </xf>
    <xf numFmtId="1" fontId="17" fillId="14" borderId="1" xfId="0" applyNumberFormat="1" applyFont="1" applyFill="1" applyBorder="1" applyAlignment="1">
      <alignment horizontal="center" vertical="center" textRotation="90" wrapText="1" shrinkToFit="1"/>
    </xf>
    <xf numFmtId="1" fontId="17" fillId="14" borderId="5" xfId="0" applyNumberFormat="1" applyFont="1" applyFill="1" applyBorder="1" applyAlignment="1">
      <alignment horizontal="center" vertical="center" textRotation="90" wrapText="1" shrinkToFit="1"/>
    </xf>
    <xf numFmtId="0" fontId="7" fillId="10" borderId="1" xfId="0" applyFont="1" applyFill="1" applyBorder="1" applyAlignment="1">
      <alignment horizontal="center" vertical="center" textRotation="90" wrapText="1"/>
    </xf>
    <xf numFmtId="0" fontId="7" fillId="10" borderId="5" xfId="0" applyFont="1" applyFill="1" applyBorder="1" applyAlignment="1">
      <alignment horizontal="center" vertical="center" textRotation="90" wrapText="1"/>
    </xf>
    <xf numFmtId="1" fontId="0" fillId="14" borderId="1" xfId="0" applyNumberFormat="1" applyFill="1" applyBorder="1" applyAlignment="1">
      <alignment horizontal="center" vertical="center" textRotation="90" wrapText="1" shrinkToFit="1"/>
    </xf>
    <xf numFmtId="1" fontId="9" fillId="14" borderId="5" xfId="0" applyNumberFormat="1" applyFont="1" applyFill="1" applyBorder="1" applyAlignment="1">
      <alignment horizontal="center" vertical="center" textRotation="90" wrapText="1" shrinkToFit="1"/>
    </xf>
    <xf numFmtId="1" fontId="0" fillId="3" borderId="1" xfId="0" applyNumberFormat="1" applyFill="1" applyBorder="1" applyAlignment="1">
      <alignment horizontal="center" vertical="center" textRotation="90" wrapText="1" shrinkToFit="1"/>
    </xf>
    <xf numFmtId="1" fontId="9" fillId="3" borderId="5" xfId="0" applyNumberFormat="1" applyFont="1" applyFill="1" applyBorder="1" applyAlignment="1">
      <alignment horizontal="center" vertical="center" textRotation="90" wrapText="1" shrinkToFit="1"/>
    </xf>
    <xf numFmtId="1" fontId="9" fillId="15" borderId="1" xfId="0" applyNumberFormat="1" applyFont="1" applyFill="1" applyBorder="1" applyAlignment="1">
      <alignment horizontal="center" vertical="center" textRotation="90" wrapText="1" shrinkToFit="1"/>
    </xf>
    <xf numFmtId="1" fontId="9" fillId="15" borderId="5" xfId="0" applyNumberFormat="1" applyFont="1" applyFill="1" applyBorder="1" applyAlignment="1">
      <alignment horizontal="center" vertical="center" textRotation="90" wrapText="1" shrinkToFit="1"/>
    </xf>
    <xf numFmtId="1" fontId="9" fillId="5" borderId="1" xfId="0" applyNumberFormat="1" applyFont="1" applyFill="1" applyBorder="1" applyAlignment="1">
      <alignment horizontal="center" vertical="center" textRotation="90" wrapText="1" shrinkToFit="1"/>
    </xf>
    <xf numFmtId="1" fontId="9" fillId="5" borderId="5" xfId="0" applyNumberFormat="1" applyFont="1" applyFill="1" applyBorder="1" applyAlignment="1">
      <alignment horizontal="center" vertical="center" textRotation="90" wrapText="1" shrinkToFit="1"/>
    </xf>
    <xf numFmtId="164" fontId="1" fillId="14" borderId="1" xfId="0" applyNumberFormat="1" applyFont="1" applyFill="1" applyBorder="1" applyAlignment="1">
      <alignment horizontal="center" vertical="center" textRotation="90" wrapText="1"/>
    </xf>
    <xf numFmtId="164" fontId="1" fillId="14" borderId="5" xfId="0" applyNumberFormat="1" applyFont="1" applyFill="1" applyBorder="1" applyAlignment="1">
      <alignment horizontal="center" vertical="center" textRotation="90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164" fontId="1" fillId="16" borderId="1" xfId="0" applyNumberFormat="1" applyFont="1" applyFill="1" applyBorder="1" applyAlignment="1">
      <alignment horizontal="center" vertical="center" wrapText="1"/>
    </xf>
    <xf numFmtId="164" fontId="1" fillId="16" borderId="5" xfId="0" applyNumberFormat="1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textRotation="90" wrapText="1"/>
    </xf>
    <xf numFmtId="0" fontId="21" fillId="14" borderId="5" xfId="0" applyFont="1" applyFill="1" applyBorder="1" applyAlignment="1">
      <alignment horizontal="center" vertical="center" textRotation="90" wrapText="1"/>
    </xf>
    <xf numFmtId="0" fontId="0" fillId="14" borderId="1" xfId="0" applyFill="1" applyBorder="1" applyAlignment="1">
      <alignment horizontal="center" vertical="center" textRotation="90" wrapText="1"/>
    </xf>
    <xf numFmtId="0" fontId="0" fillId="14" borderId="5" xfId="0" applyFill="1" applyBorder="1" applyAlignment="1">
      <alignment horizontal="center" vertical="center" textRotation="90" wrapText="1"/>
    </xf>
    <xf numFmtId="0" fontId="9" fillId="10" borderId="1" xfId="0" applyFont="1" applyFill="1" applyBorder="1" applyAlignment="1">
      <alignment horizontal="center" vertical="center" textRotation="90" wrapText="1"/>
    </xf>
    <xf numFmtId="0" fontId="9" fillId="10" borderId="5" xfId="0" applyFont="1" applyFill="1" applyBorder="1" applyAlignment="1">
      <alignment horizontal="center" vertical="center" textRotation="90" wrapText="1"/>
    </xf>
    <xf numFmtId="0" fontId="7" fillId="14" borderId="1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textRotation="90" wrapText="1"/>
    </xf>
    <xf numFmtId="0" fontId="20" fillId="14" borderId="5" xfId="0" applyFont="1" applyFill="1" applyBorder="1" applyAlignment="1">
      <alignment horizontal="center" vertical="center" textRotation="90" wrapText="1"/>
    </xf>
    <xf numFmtId="164" fontId="20" fillId="14" borderId="1" xfId="0" applyNumberFormat="1" applyFont="1" applyFill="1" applyBorder="1" applyAlignment="1">
      <alignment horizontal="center" vertical="center" wrapText="1"/>
    </xf>
    <xf numFmtId="164" fontId="20" fillId="14" borderId="5" xfId="0" applyNumberFormat="1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textRotation="90"/>
    </xf>
    <xf numFmtId="0" fontId="20" fillId="14" borderId="5" xfId="0" applyFont="1" applyFill="1" applyBorder="1" applyAlignment="1">
      <alignment horizontal="center" vertical="center" textRotation="90"/>
    </xf>
    <xf numFmtId="0" fontId="20" fillId="14" borderId="1" xfId="0" applyFont="1" applyFill="1" applyBorder="1" applyAlignment="1">
      <alignment horizontal="center" vertical="center" wrapText="1"/>
    </xf>
    <xf numFmtId="0" fontId="20" fillId="14" borderId="5" xfId="0" applyFont="1" applyFill="1" applyBorder="1" applyAlignment="1">
      <alignment horizontal="center" vertical="center" wrapText="1"/>
    </xf>
    <xf numFmtId="49" fontId="20" fillId="14" borderId="1" xfId="0" applyNumberFormat="1" applyFont="1" applyFill="1" applyBorder="1" applyAlignment="1">
      <alignment horizontal="center" vertical="center" wrapText="1"/>
    </xf>
    <xf numFmtId="49" fontId="20" fillId="14" borderId="5" xfId="0" applyNumberFormat="1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49" fontId="1" fillId="14" borderId="5" xfId="0" applyNumberFormat="1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14" fontId="10" fillId="8" borderId="7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>
    <pageSetUpPr fitToPage="1"/>
  </sheetPr>
  <dimension ref="A1:BV90"/>
  <sheetViews>
    <sheetView tabSelected="1" view="pageBreakPreview" topLeftCell="C27" zoomScale="66" zoomScaleNormal="90" zoomScaleSheetLayoutView="66" workbookViewId="0">
      <selection activeCell="I8" sqref="I8"/>
    </sheetView>
  </sheetViews>
  <sheetFormatPr defaultColWidth="11.73046875" defaultRowHeight="60" customHeight="1" x14ac:dyDescent="0.45"/>
  <cols>
    <col min="1" max="2" width="0" style="1" hidden="1" customWidth="1"/>
    <col min="3" max="3" width="11.796875" style="1" bestFit="1" customWidth="1"/>
    <col min="4" max="5" width="11.73046875" style="1"/>
    <col min="6" max="6" width="11.796875" style="1" bestFit="1" customWidth="1"/>
    <col min="7" max="8" width="0" style="1" hidden="1" customWidth="1"/>
    <col min="9" max="9" width="44.53125" style="5" customWidth="1"/>
    <col min="10" max="10" width="12.796875" style="5" customWidth="1"/>
    <col min="11" max="11" width="0" style="5" hidden="1" customWidth="1"/>
    <col min="12" max="12" width="13.33203125" style="5" customWidth="1"/>
    <col min="13" max="16" width="0" style="5" hidden="1" customWidth="1"/>
    <col min="17" max="17" width="11.796875" style="5" bestFit="1" customWidth="1"/>
    <col min="18" max="18" width="11.796875" style="4" bestFit="1" customWidth="1"/>
    <col min="19" max="19" width="54.9296875" style="5" customWidth="1"/>
    <col min="20" max="20" width="48.9296875" style="5" customWidth="1"/>
    <col min="21" max="21" width="11.796875" style="6" bestFit="1" customWidth="1"/>
    <col min="22" max="22" width="11.796875" style="7" bestFit="1" customWidth="1"/>
    <col min="23" max="23" width="11.73046875" style="7"/>
    <col min="24" max="24" width="0" style="7" hidden="1" customWidth="1"/>
    <col min="25" max="26" width="0" style="8" hidden="1" customWidth="1"/>
    <col min="27" max="73" width="0" style="5" hidden="1" customWidth="1"/>
    <col min="74" max="74" width="0" style="33" hidden="1" customWidth="1"/>
    <col min="75" max="16384" width="11.73046875" style="33"/>
  </cols>
  <sheetData>
    <row r="1" spans="1:74" s="5" customFormat="1" ht="60" customHeight="1" x14ac:dyDescent="0.45">
      <c r="A1" s="1"/>
      <c r="B1" s="1"/>
      <c r="C1" s="1"/>
      <c r="D1" s="1"/>
      <c r="E1" s="1"/>
      <c r="F1" s="1"/>
      <c r="G1" s="1"/>
      <c r="H1" s="1"/>
      <c r="I1" s="108" t="s">
        <v>29</v>
      </c>
      <c r="J1" s="109">
        <f ca="1">TODAY()</f>
        <v>45953</v>
      </c>
      <c r="K1" s="2"/>
      <c r="L1" s="1"/>
      <c r="M1" s="1"/>
      <c r="N1" s="3"/>
      <c r="O1" s="3"/>
      <c r="P1" s="1"/>
      <c r="Q1" s="1"/>
      <c r="R1" s="4"/>
      <c r="U1" s="6"/>
      <c r="V1" s="7"/>
      <c r="W1" s="7"/>
      <c r="X1" s="7"/>
      <c r="Y1" s="8"/>
      <c r="Z1" s="8"/>
      <c r="BB1" s="17"/>
      <c r="BC1" s="177"/>
      <c r="BD1" s="177"/>
      <c r="BE1" s="177"/>
      <c r="BF1" s="177"/>
      <c r="BG1" s="18"/>
      <c r="BH1" s="18"/>
      <c r="BI1" s="29"/>
      <c r="BJ1" s="177"/>
      <c r="BK1" s="177"/>
      <c r="BL1" s="177"/>
      <c r="BM1" s="177"/>
      <c r="BN1" s="177"/>
      <c r="BO1" s="177"/>
      <c r="BP1" s="177"/>
      <c r="BQ1" s="177"/>
      <c r="BR1" s="177"/>
      <c r="BS1" s="177"/>
      <c r="BT1" s="177"/>
      <c r="BU1" s="177"/>
    </row>
    <row r="2" spans="1:74" ht="60" customHeight="1" x14ac:dyDescent="0.35">
      <c r="A2" s="161" t="s">
        <v>70</v>
      </c>
      <c r="B2" s="161" t="s">
        <v>70</v>
      </c>
      <c r="C2" s="161" t="s">
        <v>71</v>
      </c>
      <c r="D2" s="30"/>
      <c r="E2" s="169" t="s">
        <v>72</v>
      </c>
      <c r="F2" s="175" t="s">
        <v>75</v>
      </c>
      <c r="G2" s="176"/>
      <c r="H2" s="176"/>
      <c r="I2" s="169" t="s">
        <v>30</v>
      </c>
      <c r="J2" s="169" t="s">
        <v>20</v>
      </c>
      <c r="K2" s="161" t="s">
        <v>76</v>
      </c>
      <c r="L2" s="171" t="s">
        <v>31</v>
      </c>
      <c r="M2" s="173" t="s">
        <v>201</v>
      </c>
      <c r="N2" s="161" t="s">
        <v>1</v>
      </c>
      <c r="O2" s="161" t="s">
        <v>164</v>
      </c>
      <c r="P2" s="167" t="s">
        <v>27</v>
      </c>
      <c r="Q2" s="167" t="s">
        <v>182</v>
      </c>
      <c r="R2" s="169" t="s">
        <v>32</v>
      </c>
      <c r="S2" s="161" t="s">
        <v>0</v>
      </c>
      <c r="T2" s="161" t="s">
        <v>64</v>
      </c>
      <c r="U2" s="163" t="s">
        <v>33</v>
      </c>
      <c r="V2" s="165" t="s">
        <v>34</v>
      </c>
      <c r="W2" s="165" t="s">
        <v>35</v>
      </c>
      <c r="X2" s="151" t="s">
        <v>308</v>
      </c>
      <c r="Y2" s="153" t="s">
        <v>63</v>
      </c>
      <c r="Z2" s="155" t="s">
        <v>69</v>
      </c>
      <c r="AA2" s="157" t="s">
        <v>36</v>
      </c>
      <c r="AB2" s="159" t="s">
        <v>37</v>
      </c>
      <c r="AC2" s="147" t="s">
        <v>65</v>
      </c>
      <c r="AD2" s="147" t="s">
        <v>180</v>
      </c>
      <c r="AE2" s="147" t="s">
        <v>165</v>
      </c>
      <c r="AF2" s="147" t="s">
        <v>181</v>
      </c>
      <c r="AG2" s="147" t="s">
        <v>244</v>
      </c>
      <c r="AH2" s="147" t="s">
        <v>77</v>
      </c>
      <c r="AI2" s="147" t="s">
        <v>317</v>
      </c>
      <c r="AJ2" s="147" t="s">
        <v>318</v>
      </c>
      <c r="AK2" s="147" t="s">
        <v>49</v>
      </c>
      <c r="AL2" s="149" t="s">
        <v>184</v>
      </c>
      <c r="AM2" s="137" t="s">
        <v>185</v>
      </c>
      <c r="AN2" s="139" t="s">
        <v>277</v>
      </c>
      <c r="AO2" s="141" t="s">
        <v>278</v>
      </c>
      <c r="AP2" s="143" t="s">
        <v>2</v>
      </c>
      <c r="AQ2" s="145" t="s">
        <v>3</v>
      </c>
      <c r="AR2" s="127" t="s">
        <v>4</v>
      </c>
      <c r="AS2" s="129" t="s">
        <v>5</v>
      </c>
      <c r="AT2" s="131" t="s">
        <v>21</v>
      </c>
      <c r="AU2" s="133" t="s">
        <v>6</v>
      </c>
      <c r="AV2" s="135" t="s">
        <v>183</v>
      </c>
      <c r="AW2" s="117" t="s">
        <v>22</v>
      </c>
      <c r="AX2" s="119" t="s">
        <v>23</v>
      </c>
      <c r="AY2" s="121" t="s">
        <v>24</v>
      </c>
      <c r="AZ2" s="123" t="s">
        <v>25</v>
      </c>
      <c r="BA2" s="125" t="s">
        <v>26</v>
      </c>
      <c r="BB2" s="114" t="s">
        <v>68</v>
      </c>
      <c r="BC2" s="116" t="s">
        <v>50</v>
      </c>
      <c r="BD2" s="116"/>
      <c r="BE2" s="116" t="s">
        <v>51</v>
      </c>
      <c r="BF2" s="116"/>
      <c r="BG2" s="112" t="s">
        <v>52</v>
      </c>
      <c r="BH2" s="113"/>
      <c r="BI2" s="29" t="s">
        <v>62</v>
      </c>
      <c r="BJ2" s="112" t="s">
        <v>53</v>
      </c>
      <c r="BK2" s="113"/>
      <c r="BL2" s="112" t="s">
        <v>54</v>
      </c>
      <c r="BM2" s="113"/>
      <c r="BN2" s="112" t="s">
        <v>55</v>
      </c>
      <c r="BO2" s="113"/>
      <c r="BP2" s="112" t="s">
        <v>56</v>
      </c>
      <c r="BQ2" s="113"/>
      <c r="BR2" s="112" t="s">
        <v>57</v>
      </c>
      <c r="BS2" s="113"/>
      <c r="BT2" s="112" t="s">
        <v>58</v>
      </c>
      <c r="BU2" s="113"/>
    </row>
    <row r="3" spans="1:74" ht="60" customHeight="1" x14ac:dyDescent="0.35">
      <c r="A3" s="162"/>
      <c r="B3" s="162"/>
      <c r="C3" s="162"/>
      <c r="D3" s="31" t="s">
        <v>237</v>
      </c>
      <c r="E3" s="170"/>
      <c r="F3" s="99" t="s">
        <v>73</v>
      </c>
      <c r="G3" s="32" t="s">
        <v>78</v>
      </c>
      <c r="H3" s="32" t="s">
        <v>74</v>
      </c>
      <c r="I3" s="170"/>
      <c r="J3" s="170"/>
      <c r="K3" s="162"/>
      <c r="L3" s="172"/>
      <c r="M3" s="174"/>
      <c r="N3" s="162"/>
      <c r="O3" s="162"/>
      <c r="P3" s="168"/>
      <c r="Q3" s="168"/>
      <c r="R3" s="170"/>
      <c r="S3" s="162"/>
      <c r="T3" s="162"/>
      <c r="U3" s="164"/>
      <c r="V3" s="166"/>
      <c r="W3" s="166"/>
      <c r="X3" s="152"/>
      <c r="Y3" s="154"/>
      <c r="Z3" s="156"/>
      <c r="AA3" s="158"/>
      <c r="AB3" s="160"/>
      <c r="AC3" s="148"/>
      <c r="AD3" s="148"/>
      <c r="AE3" s="148"/>
      <c r="AF3" s="148"/>
      <c r="AG3" s="148"/>
      <c r="AH3" s="148"/>
      <c r="AI3" s="148"/>
      <c r="AJ3" s="148"/>
      <c r="AK3" s="148"/>
      <c r="AL3" s="150"/>
      <c r="AM3" s="138"/>
      <c r="AN3" s="140"/>
      <c r="AO3" s="142"/>
      <c r="AP3" s="144"/>
      <c r="AQ3" s="146"/>
      <c r="AR3" s="128"/>
      <c r="AS3" s="130"/>
      <c r="AT3" s="132"/>
      <c r="AU3" s="134"/>
      <c r="AV3" s="136"/>
      <c r="AW3" s="118"/>
      <c r="AX3" s="120"/>
      <c r="AY3" s="122"/>
      <c r="AZ3" s="124"/>
      <c r="BA3" s="126"/>
      <c r="BB3" s="115"/>
      <c r="BC3" s="34" t="s">
        <v>59</v>
      </c>
      <c r="BD3" s="34" t="s">
        <v>60</v>
      </c>
      <c r="BE3" s="34" t="s">
        <v>59</v>
      </c>
      <c r="BF3" s="34" t="s">
        <v>60</v>
      </c>
      <c r="BG3" s="34" t="s">
        <v>59</v>
      </c>
      <c r="BH3" s="34" t="s">
        <v>60</v>
      </c>
      <c r="BI3" s="34" t="s">
        <v>61</v>
      </c>
      <c r="BJ3" s="34" t="s">
        <v>59</v>
      </c>
      <c r="BK3" s="34" t="s">
        <v>60</v>
      </c>
      <c r="BL3" s="34" t="s">
        <v>59</v>
      </c>
      <c r="BM3" s="34" t="s">
        <v>60</v>
      </c>
      <c r="BN3" s="34" t="s">
        <v>59</v>
      </c>
      <c r="BO3" s="34" t="s">
        <v>60</v>
      </c>
      <c r="BP3" s="34" t="s">
        <v>59</v>
      </c>
      <c r="BQ3" s="34" t="s">
        <v>60</v>
      </c>
      <c r="BR3" s="34" t="s">
        <v>59</v>
      </c>
      <c r="BS3" s="34" t="s">
        <v>60</v>
      </c>
      <c r="BT3" s="34" t="s">
        <v>59</v>
      </c>
      <c r="BU3" s="34" t="s">
        <v>60</v>
      </c>
    </row>
    <row r="4" spans="1:74" ht="22.9" customHeight="1" x14ac:dyDescent="0.35">
      <c r="A4" s="35">
        <v>1</v>
      </c>
      <c r="B4" s="35"/>
      <c r="C4" s="35"/>
      <c r="D4" s="35"/>
      <c r="E4" s="35"/>
      <c r="F4" s="35">
        <v>5</v>
      </c>
      <c r="G4" s="35"/>
      <c r="H4" s="35">
        <v>6</v>
      </c>
      <c r="I4" s="35">
        <v>7</v>
      </c>
      <c r="J4" s="35">
        <v>8</v>
      </c>
      <c r="K4" s="35"/>
      <c r="L4" s="35">
        <v>11</v>
      </c>
      <c r="M4" s="35"/>
      <c r="N4" s="35">
        <v>9</v>
      </c>
      <c r="O4" s="35"/>
      <c r="P4" s="35">
        <v>10</v>
      </c>
      <c r="Q4" s="35"/>
      <c r="R4" s="35">
        <v>12</v>
      </c>
      <c r="S4" s="35">
        <v>13</v>
      </c>
      <c r="T4" s="35"/>
      <c r="U4" s="35">
        <v>14</v>
      </c>
      <c r="V4" s="35">
        <v>15</v>
      </c>
      <c r="W4" s="35">
        <v>16</v>
      </c>
      <c r="X4" s="35"/>
      <c r="Y4" s="35"/>
      <c r="Z4" s="35"/>
      <c r="AA4" s="35">
        <v>19</v>
      </c>
      <c r="AB4" s="35">
        <v>20</v>
      </c>
      <c r="AC4" s="35">
        <v>22</v>
      </c>
      <c r="AD4" s="35"/>
      <c r="AE4" s="35"/>
      <c r="AF4" s="35"/>
      <c r="AG4" s="35"/>
      <c r="AH4" s="35">
        <v>21</v>
      </c>
      <c r="AI4" s="35"/>
      <c r="AJ4" s="35"/>
      <c r="AK4" s="35"/>
      <c r="AL4" s="35">
        <v>23</v>
      </c>
      <c r="AM4" s="35"/>
      <c r="AN4" s="35">
        <v>24</v>
      </c>
      <c r="AO4" s="35"/>
      <c r="AP4" s="35">
        <v>25</v>
      </c>
      <c r="AQ4" s="35">
        <v>27</v>
      </c>
      <c r="AR4" s="35">
        <v>29</v>
      </c>
      <c r="AS4" s="35">
        <v>30</v>
      </c>
      <c r="AT4" s="35">
        <v>32</v>
      </c>
      <c r="AU4" s="35">
        <v>34</v>
      </c>
      <c r="AV4" s="35"/>
      <c r="AW4" s="35">
        <v>35</v>
      </c>
      <c r="AX4" s="35">
        <v>36</v>
      </c>
      <c r="AY4" s="35">
        <v>37</v>
      </c>
      <c r="AZ4" s="35">
        <v>38</v>
      </c>
      <c r="BA4" s="35">
        <v>39</v>
      </c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</row>
    <row r="5" spans="1:74" ht="41.25" customHeight="1" x14ac:dyDescent="0.35">
      <c r="A5" s="84">
        <v>1</v>
      </c>
      <c r="B5" s="84">
        <v>88</v>
      </c>
      <c r="C5" s="61">
        <v>112</v>
      </c>
      <c r="D5" s="61" t="s">
        <v>10</v>
      </c>
      <c r="E5" s="61" t="s">
        <v>239</v>
      </c>
      <c r="F5" s="61">
        <v>303</v>
      </c>
      <c r="G5" s="85"/>
      <c r="H5" s="89" t="s">
        <v>176</v>
      </c>
      <c r="I5" s="81" t="s">
        <v>12</v>
      </c>
      <c r="J5" s="59" t="s">
        <v>79</v>
      </c>
      <c r="K5" s="59" t="s">
        <v>279</v>
      </c>
      <c r="L5" s="60" t="s">
        <v>81</v>
      </c>
      <c r="M5" s="59" t="s">
        <v>202</v>
      </c>
      <c r="N5" s="61" t="s">
        <v>80</v>
      </c>
      <c r="O5" s="61">
        <v>111610094</v>
      </c>
      <c r="P5" s="90">
        <v>2</v>
      </c>
      <c r="Q5" s="90"/>
      <c r="R5" s="91">
        <v>1976</v>
      </c>
      <c r="S5" s="59" t="s">
        <v>252</v>
      </c>
      <c r="T5" s="59" t="s">
        <v>251</v>
      </c>
      <c r="U5" s="59">
        <v>2</v>
      </c>
      <c r="V5" s="94">
        <v>45281</v>
      </c>
      <c r="W5" s="93">
        <f ca="1">IF(OR(U5="----",U5="після ремонту",U5="індикаторний",V5="здан"),"----",IF(AB5="брак","ремонт",IF(V5+U5*365&lt;TODAY(),"повірка",V5+U5*365)))</f>
        <v>46011</v>
      </c>
      <c r="X5" s="93"/>
      <c r="Y5" s="59" t="s">
        <v>245</v>
      </c>
      <c r="Z5" s="64"/>
      <c r="AA5" s="65">
        <f t="shared" ref="AA5:AA20" ca="1" si="0">IF(W5="----",0,IF(W5="ремонт",3,IF(W5="повірка",2,IF(W5="в повірці",4,1))))</f>
        <v>1</v>
      </c>
      <c r="AB5" s="66"/>
      <c r="AC5" s="64"/>
      <c r="AD5" s="67" t="s">
        <v>167</v>
      </c>
      <c r="AE5" s="64">
        <v>303</v>
      </c>
      <c r="AF5" s="67" t="s">
        <v>174</v>
      </c>
      <c r="AG5" s="67"/>
      <c r="AH5" s="68" t="s">
        <v>169</v>
      </c>
      <c r="AI5" s="76"/>
      <c r="AJ5" s="77"/>
      <c r="AK5" s="64" t="s">
        <v>170</v>
      </c>
      <c r="AL5" s="70" t="s">
        <v>221</v>
      </c>
      <c r="AM5" s="70" t="s">
        <v>222</v>
      </c>
      <c r="AN5" s="71">
        <v>1</v>
      </c>
      <c r="AO5" s="71">
        <v>1</v>
      </c>
      <c r="AP5" s="71">
        <v>1</v>
      </c>
      <c r="AQ5" s="62">
        <v>1</v>
      </c>
      <c r="AR5" s="68"/>
      <c r="AS5" s="68"/>
      <c r="AT5" s="68"/>
      <c r="AU5" s="68"/>
      <c r="AV5" s="72">
        <v>2750</v>
      </c>
      <c r="AW5" s="73">
        <v>0</v>
      </c>
      <c r="AX5" s="73">
        <v>2.6495199999999999</v>
      </c>
      <c r="AY5" s="73">
        <v>0</v>
      </c>
      <c r="AZ5" s="73">
        <v>0</v>
      </c>
      <c r="BA5" s="74"/>
      <c r="BB5" s="75">
        <v>2</v>
      </c>
      <c r="BC5" s="59">
        <v>1E-3</v>
      </c>
      <c r="BD5" s="59">
        <v>1E-3</v>
      </c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>
        <v>1E-3</v>
      </c>
      <c r="BS5" s="59"/>
      <c r="BT5" s="59">
        <v>5.0000000000000001E-3</v>
      </c>
      <c r="BU5" s="59">
        <v>5.0000000000000001E-3</v>
      </c>
    </row>
    <row r="6" spans="1:74" ht="44.65" customHeight="1" x14ac:dyDescent="0.35">
      <c r="A6" s="84">
        <f>A5+1</f>
        <v>2</v>
      </c>
      <c r="B6" s="84">
        <v>96</v>
      </c>
      <c r="C6" s="61">
        <v>111</v>
      </c>
      <c r="D6" s="61" t="s">
        <v>10</v>
      </c>
      <c r="E6" s="61" t="s">
        <v>239</v>
      </c>
      <c r="F6" s="61">
        <v>312</v>
      </c>
      <c r="G6" s="85"/>
      <c r="H6" s="85" t="s">
        <v>176</v>
      </c>
      <c r="I6" s="81" t="s">
        <v>41</v>
      </c>
      <c r="J6" s="59" t="s">
        <v>13</v>
      </c>
      <c r="K6" s="59" t="s">
        <v>280</v>
      </c>
      <c r="L6" s="60" t="s">
        <v>82</v>
      </c>
      <c r="M6" s="59" t="s">
        <v>186</v>
      </c>
      <c r="N6" s="61" t="s">
        <v>40</v>
      </c>
      <c r="O6" s="61">
        <v>111610153</v>
      </c>
      <c r="P6" s="90">
        <v>2</v>
      </c>
      <c r="Q6" s="90">
        <v>2</v>
      </c>
      <c r="R6" s="91">
        <v>1988</v>
      </c>
      <c r="S6" s="59" t="s">
        <v>226</v>
      </c>
      <c r="T6" s="59" t="s">
        <v>227</v>
      </c>
      <c r="U6" s="59">
        <v>2</v>
      </c>
      <c r="V6" s="92">
        <v>45329</v>
      </c>
      <c r="W6" s="92">
        <f t="shared" ref="W6:W7" ca="1" si="1">IF(OR(U6="----",U6="після ремонту",U6="індикаторний"),"----",IF(AB6="брак","ремонт",IF(V6="здан","в повірці",IF(V6+U6*365&lt;TODAY(),"повірка",V6+U6*365))))</f>
        <v>46059</v>
      </c>
      <c r="X6" s="93"/>
      <c r="Y6" s="59" t="s">
        <v>245</v>
      </c>
      <c r="Z6" s="64"/>
      <c r="AA6" s="65">
        <f t="shared" ca="1" si="0"/>
        <v>1</v>
      </c>
      <c r="AB6" s="66"/>
      <c r="AC6" s="64"/>
      <c r="AD6" s="67" t="s">
        <v>171</v>
      </c>
      <c r="AE6" s="64"/>
      <c r="AF6" s="67" t="s">
        <v>171</v>
      </c>
      <c r="AG6" s="67" t="s">
        <v>168</v>
      </c>
      <c r="AH6" s="68" t="s">
        <v>169</v>
      </c>
      <c r="AI6" s="69"/>
      <c r="AJ6" s="69"/>
      <c r="AK6" s="64" t="s">
        <v>177</v>
      </c>
      <c r="AL6" s="70" t="s">
        <v>221</v>
      </c>
      <c r="AM6" s="70" t="s">
        <v>222</v>
      </c>
      <c r="AN6" s="71">
        <v>1</v>
      </c>
      <c r="AO6" s="71">
        <v>1</v>
      </c>
      <c r="AP6" s="71">
        <v>1</v>
      </c>
      <c r="AQ6" s="62">
        <v>1</v>
      </c>
      <c r="AR6" s="68"/>
      <c r="AS6" s="68"/>
      <c r="AT6" s="68"/>
      <c r="AU6" s="68"/>
      <c r="AV6" s="72">
        <v>3982</v>
      </c>
      <c r="AW6" s="73">
        <v>2.5419999999999998</v>
      </c>
      <c r="AX6" s="73">
        <v>8.2100000000000009</v>
      </c>
      <c r="AY6" s="73">
        <v>0</v>
      </c>
      <c r="AZ6" s="73">
        <v>0</v>
      </c>
      <c r="BA6" s="74"/>
      <c r="BB6" s="75">
        <v>2</v>
      </c>
      <c r="BC6" s="59">
        <v>1E-3</v>
      </c>
      <c r="BD6" s="59">
        <v>1E-3</v>
      </c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>
        <v>1E-3</v>
      </c>
      <c r="BS6" s="59"/>
      <c r="BT6" s="59">
        <v>5.0000000000000001E-3</v>
      </c>
      <c r="BU6" s="110">
        <v>5.0000000000000001E-3</v>
      </c>
      <c r="BV6" s="111">
        <f>2024-R6</f>
        <v>36</v>
      </c>
    </row>
    <row r="7" spans="1:74" ht="60" customHeight="1" x14ac:dyDescent="0.35">
      <c r="A7" s="84">
        <f t="shared" ref="A7:A38" si="2">A6+1</f>
        <v>3</v>
      </c>
      <c r="B7" s="84">
        <v>116</v>
      </c>
      <c r="C7" s="61">
        <v>111</v>
      </c>
      <c r="D7" s="61" t="s">
        <v>276</v>
      </c>
      <c r="E7" s="61" t="s">
        <v>239</v>
      </c>
      <c r="F7" s="61">
        <v>312</v>
      </c>
      <c r="G7" s="85"/>
      <c r="H7" s="85" t="s">
        <v>176</v>
      </c>
      <c r="I7" s="81" t="s">
        <v>83</v>
      </c>
      <c r="J7" s="59" t="s">
        <v>84</v>
      </c>
      <c r="K7" s="59" t="s">
        <v>281</v>
      </c>
      <c r="L7" s="60" t="s">
        <v>86</v>
      </c>
      <c r="M7" s="59" t="s">
        <v>187</v>
      </c>
      <c r="N7" s="61" t="s">
        <v>85</v>
      </c>
      <c r="O7" s="61">
        <v>111610255</v>
      </c>
      <c r="P7" s="90">
        <v>2</v>
      </c>
      <c r="Q7" s="90">
        <v>2</v>
      </c>
      <c r="R7" s="91">
        <v>1990</v>
      </c>
      <c r="S7" s="60" t="s">
        <v>331</v>
      </c>
      <c r="T7" s="60" t="s">
        <v>254</v>
      </c>
      <c r="U7" s="59">
        <v>2</v>
      </c>
      <c r="V7" s="94">
        <v>45282</v>
      </c>
      <c r="W7" s="94">
        <f t="shared" ca="1" si="1"/>
        <v>46012</v>
      </c>
      <c r="X7" s="93" t="s">
        <v>309</v>
      </c>
      <c r="Y7" s="59" t="s">
        <v>245</v>
      </c>
      <c r="Z7" s="64"/>
      <c r="AA7" s="65">
        <f t="shared" ca="1" si="0"/>
        <v>1</v>
      </c>
      <c r="AB7" s="66"/>
      <c r="AC7" s="64"/>
      <c r="AD7" s="67" t="s">
        <v>171</v>
      </c>
      <c r="AE7" s="64"/>
      <c r="AF7" s="67" t="s">
        <v>172</v>
      </c>
      <c r="AG7" s="67" t="s">
        <v>168</v>
      </c>
      <c r="AH7" s="68" t="s">
        <v>169</v>
      </c>
      <c r="AI7" s="76"/>
      <c r="AJ7" s="77" t="s">
        <v>310</v>
      </c>
      <c r="AK7" s="64" t="s">
        <v>173</v>
      </c>
      <c r="AL7" s="70" t="s">
        <v>221</v>
      </c>
      <c r="AM7" s="70" t="s">
        <v>222</v>
      </c>
      <c r="AN7" s="71">
        <v>1</v>
      </c>
      <c r="AO7" s="71">
        <v>1</v>
      </c>
      <c r="AP7" s="71">
        <v>1</v>
      </c>
      <c r="AQ7" s="62">
        <v>1</v>
      </c>
      <c r="AR7" s="68"/>
      <c r="AS7" s="68"/>
      <c r="AT7" s="68"/>
      <c r="AU7" s="68"/>
      <c r="AV7" s="72">
        <v>22904</v>
      </c>
      <c r="AW7" s="73">
        <v>5.8148850000000003</v>
      </c>
      <c r="AX7" s="73">
        <v>6.9812469999999998</v>
      </c>
      <c r="AY7" s="73">
        <v>6.9063600000000003E-2</v>
      </c>
      <c r="AZ7" s="73">
        <v>0.241095</v>
      </c>
      <c r="BA7" s="74"/>
      <c r="BB7" s="75">
        <v>2</v>
      </c>
      <c r="BC7" s="59">
        <v>1E-3</v>
      </c>
      <c r="BD7" s="59">
        <v>1E-3</v>
      </c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>
        <v>1E-3</v>
      </c>
      <c r="BS7" s="59"/>
      <c r="BT7" s="59">
        <v>5.0000000000000001E-3</v>
      </c>
      <c r="BU7" s="59">
        <v>5.0000000000000001E-3</v>
      </c>
      <c r="BV7" s="111">
        <f>2024-R7</f>
        <v>34</v>
      </c>
    </row>
    <row r="8" spans="1:74" ht="46.5" customHeight="1" x14ac:dyDescent="0.35">
      <c r="A8" s="84">
        <f t="shared" si="2"/>
        <v>4</v>
      </c>
      <c r="B8" s="84">
        <v>151</v>
      </c>
      <c r="C8" s="61">
        <v>112</v>
      </c>
      <c r="D8" s="61" t="s">
        <v>10</v>
      </c>
      <c r="E8" s="61" t="s">
        <v>239</v>
      </c>
      <c r="F8" s="61">
        <v>303</v>
      </c>
      <c r="G8" s="85"/>
      <c r="H8" s="85" t="s">
        <v>176</v>
      </c>
      <c r="I8" s="81" t="s">
        <v>87</v>
      </c>
      <c r="J8" s="59" t="s">
        <v>18</v>
      </c>
      <c r="K8" s="59" t="s">
        <v>282</v>
      </c>
      <c r="L8" s="60" t="s">
        <v>88</v>
      </c>
      <c r="M8" s="59" t="s">
        <v>203</v>
      </c>
      <c r="N8" s="61" t="s">
        <v>45</v>
      </c>
      <c r="O8" s="61">
        <v>111610342</v>
      </c>
      <c r="P8" s="90">
        <v>2</v>
      </c>
      <c r="Q8" s="90"/>
      <c r="R8" s="91">
        <v>1989</v>
      </c>
      <c r="S8" s="59" t="s">
        <v>246</v>
      </c>
      <c r="T8" s="59" t="s">
        <v>247</v>
      </c>
      <c r="U8" s="59">
        <v>2</v>
      </c>
      <c r="V8" s="94">
        <v>45365</v>
      </c>
      <c r="W8" s="93">
        <f ca="1">IF(OR(U8="----",U8="після ремонту",U8="індикаторний",V8="здан"),"----",IF(AB8="брак","ремонт",IF(V8+U8*365&lt;TODAY(),"повірка",V8+U8*365)))</f>
        <v>46095</v>
      </c>
      <c r="X8" s="93"/>
      <c r="Y8" s="59" t="s">
        <v>220</v>
      </c>
      <c r="Z8" s="64"/>
      <c r="AA8" s="65">
        <f t="shared" ca="1" si="0"/>
        <v>1</v>
      </c>
      <c r="AB8" s="66"/>
      <c r="AC8" s="64"/>
      <c r="AD8" s="67" t="s">
        <v>167</v>
      </c>
      <c r="AE8" s="64">
        <v>303</v>
      </c>
      <c r="AF8" s="67" t="s">
        <v>167</v>
      </c>
      <c r="AG8" s="67" t="s">
        <v>168</v>
      </c>
      <c r="AH8" s="68" t="s">
        <v>169</v>
      </c>
      <c r="AI8" s="76"/>
      <c r="AJ8" s="77"/>
      <c r="AK8" s="64" t="s">
        <v>173</v>
      </c>
      <c r="AL8" s="70" t="s">
        <v>221</v>
      </c>
      <c r="AM8" s="70" t="s">
        <v>222</v>
      </c>
      <c r="AN8" s="71">
        <v>1</v>
      </c>
      <c r="AO8" s="71">
        <v>1</v>
      </c>
      <c r="AP8" s="71">
        <v>1</v>
      </c>
      <c r="AQ8" s="62">
        <v>1</v>
      </c>
      <c r="AR8" s="68"/>
      <c r="AS8" s="68"/>
      <c r="AT8" s="68"/>
      <c r="AU8" s="68"/>
      <c r="AV8" s="72">
        <v>9870</v>
      </c>
      <c r="AW8" s="73">
        <v>3.7806000000000002</v>
      </c>
      <c r="AX8" s="73">
        <v>31.552109999999999</v>
      </c>
      <c r="AY8" s="73">
        <v>0.10204000000000001</v>
      </c>
      <c r="AZ8" s="73">
        <v>0.64559999999999995</v>
      </c>
      <c r="BA8" s="74"/>
      <c r="BB8" s="75">
        <v>4</v>
      </c>
      <c r="BC8" s="59">
        <v>1E-3</v>
      </c>
      <c r="BD8" s="59">
        <v>1E-3</v>
      </c>
      <c r="BE8" s="59">
        <v>5.0000000000000001E-3</v>
      </c>
      <c r="BF8" s="59"/>
      <c r="BG8" s="59"/>
      <c r="BH8" s="59"/>
      <c r="BI8" s="59"/>
      <c r="BJ8" s="59"/>
      <c r="BK8" s="59"/>
      <c r="BL8" s="59"/>
      <c r="BM8" s="59"/>
      <c r="BN8" s="59">
        <v>5.0000000000000001E-3</v>
      </c>
      <c r="BO8" s="59"/>
      <c r="BP8" s="59"/>
      <c r="BQ8" s="59"/>
      <c r="BR8" s="59">
        <v>1E-3</v>
      </c>
      <c r="BS8" s="59"/>
      <c r="BT8" s="59">
        <v>0.02</v>
      </c>
      <c r="BU8" s="59">
        <v>0.01</v>
      </c>
    </row>
    <row r="9" spans="1:74" ht="44.65" customHeight="1" x14ac:dyDescent="0.35">
      <c r="A9" s="84">
        <f t="shared" si="2"/>
        <v>5</v>
      </c>
      <c r="B9" s="84">
        <v>158</v>
      </c>
      <c r="C9" s="61">
        <v>111</v>
      </c>
      <c r="D9" s="61" t="s">
        <v>10</v>
      </c>
      <c r="E9" s="61" t="s">
        <v>239</v>
      </c>
      <c r="F9" s="61">
        <v>312</v>
      </c>
      <c r="G9" s="85"/>
      <c r="H9" s="85" t="s">
        <v>176</v>
      </c>
      <c r="I9" s="81" t="s">
        <v>87</v>
      </c>
      <c r="J9" s="59" t="s">
        <v>18</v>
      </c>
      <c r="K9" s="59" t="s">
        <v>282</v>
      </c>
      <c r="L9" s="60" t="s">
        <v>89</v>
      </c>
      <c r="M9" s="59" t="s">
        <v>188</v>
      </c>
      <c r="N9" s="61" t="s">
        <v>45</v>
      </c>
      <c r="O9" s="61">
        <v>111610352</v>
      </c>
      <c r="P9" s="90">
        <v>2</v>
      </c>
      <c r="Q9" s="90">
        <v>2</v>
      </c>
      <c r="R9" s="91">
        <v>1990</v>
      </c>
      <c r="S9" s="59" t="s">
        <v>246</v>
      </c>
      <c r="T9" s="59" t="s">
        <v>247</v>
      </c>
      <c r="U9" s="59">
        <v>2</v>
      </c>
      <c r="V9" s="92">
        <v>45365</v>
      </c>
      <c r="W9" s="92">
        <f t="shared" ref="W9:W10" ca="1" si="3">IF(OR(U9="----",U9="після ремонту",U9="індикаторний"),"----",IF(AB9="брак","ремонт",IF(V9="здан","в повірці",IF(V9+U9*365&lt;TODAY(),"повірка",V9+U9*365))))</f>
        <v>46095</v>
      </c>
      <c r="X9" s="93"/>
      <c r="Y9" s="59" t="s">
        <v>220</v>
      </c>
      <c r="Z9" s="64"/>
      <c r="AA9" s="65">
        <f t="shared" ca="1" si="0"/>
        <v>1</v>
      </c>
      <c r="AB9" s="66"/>
      <c r="AC9" s="64"/>
      <c r="AD9" s="67" t="s">
        <v>167</v>
      </c>
      <c r="AE9" s="64">
        <v>312</v>
      </c>
      <c r="AF9" s="67" t="s">
        <v>167</v>
      </c>
      <c r="AG9" s="67" t="s">
        <v>168</v>
      </c>
      <c r="AH9" s="68" t="s">
        <v>169</v>
      </c>
      <c r="AI9" s="76"/>
      <c r="AJ9" s="76"/>
      <c r="AK9" s="64" t="s">
        <v>173</v>
      </c>
      <c r="AL9" s="70" t="s">
        <v>221</v>
      </c>
      <c r="AM9" s="70" t="s">
        <v>222</v>
      </c>
      <c r="AN9" s="71">
        <v>1</v>
      </c>
      <c r="AO9" s="71">
        <v>1</v>
      </c>
      <c r="AP9" s="71">
        <v>1</v>
      </c>
      <c r="AQ9" s="62">
        <v>1</v>
      </c>
      <c r="AR9" s="68"/>
      <c r="AS9" s="68"/>
      <c r="AT9" s="68"/>
      <c r="AU9" s="68"/>
      <c r="AV9" s="72">
        <v>9870</v>
      </c>
      <c r="AW9" s="73">
        <v>3.7806000000000002</v>
      </c>
      <c r="AX9" s="73">
        <v>28.888559999999998</v>
      </c>
      <c r="AY9" s="73">
        <v>0.10204000000000001</v>
      </c>
      <c r="AZ9" s="73">
        <v>0.64559999999999995</v>
      </c>
      <c r="BA9" s="74"/>
      <c r="BB9" s="75">
        <v>4</v>
      </c>
      <c r="BC9" s="59">
        <v>1E-3</v>
      </c>
      <c r="BD9" s="59">
        <v>1E-3</v>
      </c>
      <c r="BE9" s="59">
        <v>5.0000000000000001E-3</v>
      </c>
      <c r="BF9" s="59"/>
      <c r="BG9" s="59"/>
      <c r="BH9" s="59"/>
      <c r="BI9" s="59"/>
      <c r="BJ9" s="59"/>
      <c r="BK9" s="59"/>
      <c r="BL9" s="59"/>
      <c r="BM9" s="59"/>
      <c r="BN9" s="59">
        <v>5.0000000000000001E-3</v>
      </c>
      <c r="BO9" s="59"/>
      <c r="BP9" s="59"/>
      <c r="BQ9" s="59"/>
      <c r="BR9" s="59">
        <v>1E-3</v>
      </c>
      <c r="BS9" s="59"/>
      <c r="BT9" s="59">
        <v>0.02</v>
      </c>
      <c r="BU9" s="59">
        <v>0.01</v>
      </c>
      <c r="BV9" s="111">
        <f t="shared" ref="BV9:BV10" si="4">2024-R9</f>
        <v>34</v>
      </c>
    </row>
    <row r="10" spans="1:74" ht="43.5" customHeight="1" x14ac:dyDescent="0.35">
      <c r="A10" s="84">
        <f t="shared" si="2"/>
        <v>6</v>
      </c>
      <c r="B10" s="84">
        <v>220</v>
      </c>
      <c r="C10" s="61">
        <v>111</v>
      </c>
      <c r="D10" s="61" t="s">
        <v>276</v>
      </c>
      <c r="E10" s="61" t="s">
        <v>239</v>
      </c>
      <c r="F10" s="61">
        <v>312</v>
      </c>
      <c r="G10" s="85"/>
      <c r="H10" s="85" t="s">
        <v>176</v>
      </c>
      <c r="I10" s="81" t="s">
        <v>90</v>
      </c>
      <c r="J10" s="59" t="s">
        <v>47</v>
      </c>
      <c r="K10" s="59" t="s">
        <v>283</v>
      </c>
      <c r="L10" s="60" t="s">
        <v>91</v>
      </c>
      <c r="M10" s="59" t="s">
        <v>189</v>
      </c>
      <c r="N10" s="61" t="s">
        <v>48</v>
      </c>
      <c r="O10" s="61">
        <v>111610588</v>
      </c>
      <c r="P10" s="90">
        <v>2</v>
      </c>
      <c r="Q10" s="90">
        <v>2</v>
      </c>
      <c r="R10" s="91">
        <v>1979</v>
      </c>
      <c r="S10" s="59" t="s">
        <v>225</v>
      </c>
      <c r="T10" s="59" t="s">
        <v>324</v>
      </c>
      <c r="U10" s="59">
        <v>2</v>
      </c>
      <c r="V10" s="94">
        <v>45268</v>
      </c>
      <c r="W10" s="94">
        <f t="shared" ca="1" si="3"/>
        <v>45998</v>
      </c>
      <c r="X10" s="93"/>
      <c r="Y10" s="59" t="s">
        <v>220</v>
      </c>
      <c r="Z10" s="64"/>
      <c r="AA10" s="65">
        <f t="shared" ca="1" si="0"/>
        <v>1</v>
      </c>
      <c r="AB10" s="66"/>
      <c r="AC10" s="64"/>
      <c r="AD10" s="67" t="s">
        <v>174</v>
      </c>
      <c r="AE10" s="64"/>
      <c r="AF10" s="67" t="s">
        <v>174</v>
      </c>
      <c r="AG10" s="67" t="s">
        <v>168</v>
      </c>
      <c r="AH10" s="68" t="s">
        <v>169</v>
      </c>
      <c r="AI10" s="76"/>
      <c r="AJ10" s="76"/>
      <c r="AK10" s="64" t="s">
        <v>173</v>
      </c>
      <c r="AL10" s="70" t="s">
        <v>221</v>
      </c>
      <c r="AM10" s="70" t="s">
        <v>222</v>
      </c>
      <c r="AN10" s="71">
        <v>1</v>
      </c>
      <c r="AO10" s="71">
        <v>1</v>
      </c>
      <c r="AP10" s="71">
        <v>1</v>
      </c>
      <c r="AQ10" s="62">
        <v>1</v>
      </c>
      <c r="AR10" s="68"/>
      <c r="AS10" s="68"/>
      <c r="AT10" s="68"/>
      <c r="AU10" s="68"/>
      <c r="AV10" s="72">
        <v>18189</v>
      </c>
      <c r="AW10" s="73">
        <v>4.5810089999999999</v>
      </c>
      <c r="AX10" s="73">
        <v>25.243535000000001</v>
      </c>
      <c r="AY10" s="73">
        <v>0</v>
      </c>
      <c r="AZ10" s="73">
        <v>5.9900000000000002E-2</v>
      </c>
      <c r="BA10" s="74"/>
      <c r="BB10" s="75">
        <v>5</v>
      </c>
      <c r="BC10" s="59">
        <v>5.0000000000000001E-3</v>
      </c>
      <c r="BD10" s="59"/>
      <c r="BE10" s="59"/>
      <c r="BF10" s="59"/>
      <c r="BG10" s="59"/>
      <c r="BH10" s="59"/>
      <c r="BI10" s="59"/>
      <c r="BJ10" s="59"/>
      <c r="BK10" s="59"/>
      <c r="BL10" s="59">
        <v>5.0000000000000001E-3</v>
      </c>
      <c r="BM10" s="59"/>
      <c r="BN10" s="59"/>
      <c r="BO10" s="59"/>
      <c r="BP10" s="59"/>
      <c r="BQ10" s="59"/>
      <c r="BR10" s="59"/>
      <c r="BS10" s="59"/>
      <c r="BT10" s="59">
        <v>0.02</v>
      </c>
      <c r="BU10" s="59">
        <v>0.01</v>
      </c>
      <c r="BV10" s="111">
        <f t="shared" si="4"/>
        <v>45</v>
      </c>
    </row>
    <row r="11" spans="1:74" ht="46.9" customHeight="1" x14ac:dyDescent="0.35">
      <c r="A11" s="84" t="e">
        <f>#REF!+1</f>
        <v>#REF!</v>
      </c>
      <c r="B11" s="84">
        <v>247</v>
      </c>
      <c r="C11" s="61">
        <v>111</v>
      </c>
      <c r="D11" s="61" t="s">
        <v>276</v>
      </c>
      <c r="E11" s="61" t="s">
        <v>239</v>
      </c>
      <c r="F11" s="61">
        <v>312</v>
      </c>
      <c r="G11" s="85"/>
      <c r="H11" s="85" t="s">
        <v>176</v>
      </c>
      <c r="I11" s="81" t="s">
        <v>14</v>
      </c>
      <c r="J11" s="59" t="s">
        <v>92</v>
      </c>
      <c r="K11" s="59" t="s">
        <v>284</v>
      </c>
      <c r="L11" s="60" t="s">
        <v>94</v>
      </c>
      <c r="M11" s="59" t="s">
        <v>190</v>
      </c>
      <c r="N11" s="61" t="s">
        <v>93</v>
      </c>
      <c r="O11" s="61">
        <v>111610637</v>
      </c>
      <c r="P11" s="90">
        <v>2</v>
      </c>
      <c r="Q11" s="90">
        <v>2</v>
      </c>
      <c r="R11" s="91">
        <v>1994</v>
      </c>
      <c r="S11" s="59" t="s">
        <v>325</v>
      </c>
      <c r="T11" s="59" t="s">
        <v>326</v>
      </c>
      <c r="U11" s="59">
        <v>2</v>
      </c>
      <c r="V11" s="95">
        <v>45818</v>
      </c>
      <c r="W11" s="93">
        <f t="shared" ref="W11" ca="1" si="5">IF(OR(U11="----",U11="після ремонту",U11="індикаторний",V11="здан"),"----",IF(AB11="брак","ремонт",IF(V11+U11*365&lt;TODAY(),"повірка",V11+U11*365)))</f>
        <v>46548</v>
      </c>
      <c r="X11" s="93"/>
      <c r="Y11" s="59" t="s">
        <v>220</v>
      </c>
      <c r="Z11" s="64"/>
      <c r="AA11" s="65">
        <f t="shared" ca="1" si="0"/>
        <v>1</v>
      </c>
      <c r="AB11" s="66"/>
      <c r="AC11" s="64"/>
      <c r="AD11" s="67" t="s">
        <v>167</v>
      </c>
      <c r="AE11" s="64">
        <v>312</v>
      </c>
      <c r="AF11" s="67" t="s">
        <v>178</v>
      </c>
      <c r="AG11" s="67"/>
      <c r="AH11" s="68" t="s">
        <v>169</v>
      </c>
      <c r="AI11" s="76"/>
      <c r="AJ11" s="77"/>
      <c r="AK11" s="64" t="s">
        <v>177</v>
      </c>
      <c r="AL11" s="70" t="s">
        <v>221</v>
      </c>
      <c r="AM11" s="70" t="s">
        <v>222</v>
      </c>
      <c r="AN11" s="71">
        <v>1</v>
      </c>
      <c r="AO11" s="71">
        <v>1</v>
      </c>
      <c r="AP11" s="71">
        <v>1</v>
      </c>
      <c r="AQ11" s="62">
        <v>1</v>
      </c>
      <c r="AR11" s="68"/>
      <c r="AS11" s="68"/>
      <c r="AT11" s="68"/>
      <c r="AU11" s="68"/>
      <c r="AV11" s="72">
        <v>54285</v>
      </c>
      <c r="AW11" s="73">
        <v>18.524000000000001</v>
      </c>
      <c r="AX11" s="73">
        <v>23.83</v>
      </c>
      <c r="AY11" s="73">
        <v>0</v>
      </c>
      <c r="AZ11" s="73">
        <v>0</v>
      </c>
      <c r="BA11" s="74"/>
      <c r="BB11" s="75">
        <v>5</v>
      </c>
      <c r="BC11" s="59">
        <v>5.0000000000000001E-3</v>
      </c>
      <c r="BD11" s="59"/>
      <c r="BE11" s="59"/>
      <c r="BF11" s="59"/>
      <c r="BG11" s="59"/>
      <c r="BH11" s="59"/>
      <c r="BI11" s="59"/>
      <c r="BJ11" s="59"/>
      <c r="BK11" s="59"/>
      <c r="BL11" s="59">
        <v>5.0000000000000001E-3</v>
      </c>
      <c r="BM11" s="59"/>
      <c r="BN11" s="59"/>
      <c r="BO11" s="59"/>
      <c r="BP11" s="59"/>
      <c r="BQ11" s="59"/>
      <c r="BR11" s="59"/>
      <c r="BS11" s="59"/>
      <c r="BT11" s="59">
        <v>0.02</v>
      </c>
      <c r="BU11" s="59">
        <v>0.01</v>
      </c>
      <c r="BV11" s="111">
        <f>2024-R11</f>
        <v>30</v>
      </c>
    </row>
    <row r="12" spans="1:74" ht="49.15" customHeight="1" x14ac:dyDescent="0.35">
      <c r="A12" s="84" t="e">
        <f t="shared" si="2"/>
        <v>#REF!</v>
      </c>
      <c r="B12" s="84">
        <v>265</v>
      </c>
      <c r="C12" s="61">
        <v>112</v>
      </c>
      <c r="D12" s="61" t="s">
        <v>10</v>
      </c>
      <c r="E12" s="61" t="s">
        <v>239</v>
      </c>
      <c r="F12" s="61">
        <v>303</v>
      </c>
      <c r="G12" s="85"/>
      <c r="H12" s="87" t="s">
        <v>176</v>
      </c>
      <c r="I12" s="81" t="s">
        <v>95</v>
      </c>
      <c r="J12" s="59" t="s">
        <v>96</v>
      </c>
      <c r="K12" s="59" t="s">
        <v>285</v>
      </c>
      <c r="L12" s="60" t="s">
        <v>98</v>
      </c>
      <c r="M12" s="59" t="s">
        <v>204</v>
      </c>
      <c r="N12" s="61" t="s">
        <v>97</v>
      </c>
      <c r="O12" s="61">
        <v>111610708</v>
      </c>
      <c r="P12" s="90">
        <v>4</v>
      </c>
      <c r="Q12" s="90">
        <v>2</v>
      </c>
      <c r="R12" s="91">
        <v>1989</v>
      </c>
      <c r="S12" s="59" t="s">
        <v>256</v>
      </c>
      <c r="T12" s="59" t="s">
        <v>327</v>
      </c>
      <c r="U12" s="59">
        <v>3</v>
      </c>
      <c r="V12" s="94">
        <v>45814</v>
      </c>
      <c r="W12" s="93">
        <f t="shared" ref="W12:W14" ca="1" si="6">IF(OR(U12="----",U12="після ремонту",U12="індикаторний"),"----",IF(AB12="брак","ремонт",IF(V12="здан","в повірці",IF(V12+U12*365&lt;TODAY(),"повірка",V12+U12*365))))</f>
        <v>46909</v>
      </c>
      <c r="X12" s="93"/>
      <c r="Y12" s="59" t="s">
        <v>220</v>
      </c>
      <c r="Z12" s="64"/>
      <c r="AA12" s="65">
        <f t="shared" ca="1" si="0"/>
        <v>1</v>
      </c>
      <c r="AB12" s="66"/>
      <c r="AC12" s="64"/>
      <c r="AD12" s="67" t="s">
        <v>167</v>
      </c>
      <c r="AE12" s="64">
        <v>303</v>
      </c>
      <c r="AF12" s="67" t="s">
        <v>167</v>
      </c>
      <c r="AG12" s="67" t="s">
        <v>168</v>
      </c>
      <c r="AH12" s="68" t="s">
        <v>169</v>
      </c>
      <c r="AI12" s="76"/>
      <c r="AJ12" s="69"/>
      <c r="AK12" s="64" t="s">
        <v>170</v>
      </c>
      <c r="AL12" s="70" t="s">
        <v>221</v>
      </c>
      <c r="AM12" s="70" t="s">
        <v>222</v>
      </c>
      <c r="AN12" s="71">
        <v>1</v>
      </c>
      <c r="AO12" s="71">
        <v>1</v>
      </c>
      <c r="AP12" s="71">
        <v>1</v>
      </c>
      <c r="AQ12" s="62"/>
      <c r="AR12" s="68"/>
      <c r="AS12" s="68"/>
      <c r="AT12" s="68"/>
      <c r="AU12" s="68"/>
      <c r="AV12" s="72">
        <v>277629</v>
      </c>
      <c r="AW12" s="73">
        <v>45.106900000000003</v>
      </c>
      <c r="AX12" s="73">
        <v>57.052599999999998</v>
      </c>
      <c r="AY12" s="73">
        <v>1.0455000000000001</v>
      </c>
      <c r="AZ12" s="73">
        <v>0.75</v>
      </c>
      <c r="BA12" s="74"/>
      <c r="BB12" s="75">
        <v>5</v>
      </c>
      <c r="BC12" s="59">
        <v>5.0000000000000001E-3</v>
      </c>
      <c r="BD12" s="59"/>
      <c r="BE12" s="59"/>
      <c r="BF12" s="59"/>
      <c r="BG12" s="59"/>
      <c r="BH12" s="59"/>
      <c r="BI12" s="59"/>
      <c r="BJ12" s="59"/>
      <c r="BK12" s="59"/>
      <c r="BL12" s="59">
        <v>5.0000000000000001E-3</v>
      </c>
      <c r="BM12" s="59"/>
      <c r="BN12" s="59"/>
      <c r="BO12" s="59"/>
      <c r="BP12" s="59"/>
      <c r="BQ12" s="59"/>
      <c r="BR12" s="59"/>
      <c r="BS12" s="59"/>
      <c r="BT12" s="59">
        <v>0.02</v>
      </c>
      <c r="BU12" s="59">
        <v>0.01</v>
      </c>
    </row>
    <row r="13" spans="1:74" ht="41.25" customHeight="1" x14ac:dyDescent="0.35">
      <c r="A13" s="84" t="e">
        <f t="shared" si="2"/>
        <v>#REF!</v>
      </c>
      <c r="B13" s="84">
        <v>266</v>
      </c>
      <c r="C13" s="61">
        <v>112</v>
      </c>
      <c r="D13" s="61" t="s">
        <v>10</v>
      </c>
      <c r="E13" s="61" t="s">
        <v>239</v>
      </c>
      <c r="F13" s="61">
        <v>303</v>
      </c>
      <c r="G13" s="85"/>
      <c r="H13" s="85" t="s">
        <v>176</v>
      </c>
      <c r="I13" s="81" t="s">
        <v>95</v>
      </c>
      <c r="J13" s="59" t="s">
        <v>96</v>
      </c>
      <c r="K13" s="59" t="s">
        <v>285</v>
      </c>
      <c r="L13" s="60" t="s">
        <v>99</v>
      </c>
      <c r="M13" s="59" t="s">
        <v>205</v>
      </c>
      <c r="N13" s="61" t="s">
        <v>97</v>
      </c>
      <c r="O13" s="61">
        <v>111610709</v>
      </c>
      <c r="P13" s="90">
        <v>4</v>
      </c>
      <c r="Q13" s="90">
        <v>2</v>
      </c>
      <c r="R13" s="91">
        <v>1989</v>
      </c>
      <c r="S13" s="59" t="s">
        <v>256</v>
      </c>
      <c r="T13" s="59" t="s">
        <v>327</v>
      </c>
      <c r="U13" s="59">
        <v>3</v>
      </c>
      <c r="V13" s="94">
        <v>45814</v>
      </c>
      <c r="W13" s="93">
        <f t="shared" ca="1" si="6"/>
        <v>46909</v>
      </c>
      <c r="X13" s="93"/>
      <c r="Y13" s="59" t="s">
        <v>220</v>
      </c>
      <c r="Z13" s="64"/>
      <c r="AA13" s="65">
        <f t="shared" ca="1" si="0"/>
        <v>1</v>
      </c>
      <c r="AB13" s="66"/>
      <c r="AC13" s="64"/>
      <c r="AD13" s="67" t="s">
        <v>167</v>
      </c>
      <c r="AE13" s="64">
        <v>303</v>
      </c>
      <c r="AF13" s="67" t="s">
        <v>167</v>
      </c>
      <c r="AG13" s="67" t="s">
        <v>168</v>
      </c>
      <c r="AH13" s="68" t="s">
        <v>169</v>
      </c>
      <c r="AI13" s="76"/>
      <c r="AJ13" s="77"/>
      <c r="AK13" s="64" t="s">
        <v>173</v>
      </c>
      <c r="AL13" s="70" t="s">
        <v>221</v>
      </c>
      <c r="AM13" s="70" t="s">
        <v>222</v>
      </c>
      <c r="AN13" s="71">
        <v>1</v>
      </c>
      <c r="AO13" s="71">
        <v>1</v>
      </c>
      <c r="AP13" s="71">
        <v>1</v>
      </c>
      <c r="AQ13" s="62"/>
      <c r="AR13" s="68"/>
      <c r="AS13" s="68"/>
      <c r="AT13" s="68"/>
      <c r="AU13" s="68"/>
      <c r="AV13" s="72">
        <v>277629</v>
      </c>
      <c r="AW13" s="73">
        <v>45.106900000000003</v>
      </c>
      <c r="AX13" s="73">
        <v>57.052599999999998</v>
      </c>
      <c r="AY13" s="73">
        <v>1.0455000000000001</v>
      </c>
      <c r="AZ13" s="73">
        <v>0.75</v>
      </c>
      <c r="BA13" s="74"/>
      <c r="BB13" s="75">
        <v>5</v>
      </c>
      <c r="BC13" s="59">
        <v>5.0000000000000001E-3</v>
      </c>
      <c r="BD13" s="59"/>
      <c r="BE13" s="59"/>
      <c r="BF13" s="59"/>
      <c r="BG13" s="59"/>
      <c r="BH13" s="59"/>
      <c r="BI13" s="59"/>
      <c r="BJ13" s="59"/>
      <c r="BK13" s="59"/>
      <c r="BL13" s="59">
        <v>5.0000000000000001E-3</v>
      </c>
      <c r="BM13" s="59"/>
      <c r="BN13" s="59"/>
      <c r="BO13" s="59"/>
      <c r="BP13" s="59"/>
      <c r="BQ13" s="59"/>
      <c r="BR13" s="59"/>
      <c r="BS13" s="59"/>
      <c r="BT13" s="59">
        <v>0.02</v>
      </c>
      <c r="BU13" s="59">
        <v>0.01</v>
      </c>
    </row>
    <row r="14" spans="1:74" ht="54.75" customHeight="1" x14ac:dyDescent="0.45">
      <c r="A14" s="84" t="e">
        <f t="shared" si="2"/>
        <v>#REF!</v>
      </c>
      <c r="B14" s="84">
        <v>276</v>
      </c>
      <c r="C14" s="61">
        <v>112</v>
      </c>
      <c r="D14" s="61" t="s">
        <v>10</v>
      </c>
      <c r="E14" s="61" t="s">
        <v>239</v>
      </c>
      <c r="F14" s="61">
        <v>303</v>
      </c>
      <c r="G14" s="85"/>
      <c r="H14" s="85" t="s">
        <v>176</v>
      </c>
      <c r="I14" s="81" t="s">
        <v>9</v>
      </c>
      <c r="J14" s="59" t="s">
        <v>100</v>
      </c>
      <c r="K14" s="59" t="s">
        <v>286</v>
      </c>
      <c r="L14" s="60" t="s">
        <v>102</v>
      </c>
      <c r="M14" s="59" t="s">
        <v>206</v>
      </c>
      <c r="N14" s="61" t="s">
        <v>101</v>
      </c>
      <c r="O14" s="61">
        <v>111610786</v>
      </c>
      <c r="P14" s="90">
        <v>2</v>
      </c>
      <c r="Q14" s="90">
        <v>2</v>
      </c>
      <c r="R14" s="91">
        <v>1990</v>
      </c>
      <c r="S14" s="100" t="s">
        <v>275</v>
      </c>
      <c r="T14" s="59" t="s">
        <v>255</v>
      </c>
      <c r="U14" s="59">
        <v>3</v>
      </c>
      <c r="V14" s="94">
        <v>37230</v>
      </c>
      <c r="W14" s="93" t="str">
        <f t="shared" ca="1" si="6"/>
        <v>ремонт</v>
      </c>
      <c r="X14" s="93"/>
      <c r="Y14" s="59" t="s">
        <v>223</v>
      </c>
      <c r="Z14" s="64">
        <v>2015</v>
      </c>
      <c r="AA14" s="65">
        <f t="shared" ca="1" si="0"/>
        <v>3</v>
      </c>
      <c r="AB14" s="66" t="s">
        <v>311</v>
      </c>
      <c r="AC14" s="64"/>
      <c r="AD14" s="67" t="s">
        <v>167</v>
      </c>
      <c r="AE14" s="64">
        <v>303</v>
      </c>
      <c r="AF14" s="67" t="s">
        <v>167</v>
      </c>
      <c r="AG14" s="67" t="s">
        <v>168</v>
      </c>
      <c r="AH14" s="68" t="s">
        <v>169</v>
      </c>
      <c r="AI14" s="76"/>
      <c r="AJ14" s="77"/>
      <c r="AK14" s="64" t="s">
        <v>173</v>
      </c>
      <c r="AL14" s="70" t="s">
        <v>221</v>
      </c>
      <c r="AM14" s="70" t="s">
        <v>222</v>
      </c>
      <c r="AN14" s="71">
        <v>1</v>
      </c>
      <c r="AO14" s="71">
        <v>1</v>
      </c>
      <c r="AP14" s="71">
        <v>1</v>
      </c>
      <c r="AQ14" s="62">
        <v>1</v>
      </c>
      <c r="AR14" s="68"/>
      <c r="AS14" s="68"/>
      <c r="AT14" s="68"/>
      <c r="AU14" s="68"/>
      <c r="AV14" s="72">
        <v>12690</v>
      </c>
      <c r="AW14" s="73">
        <v>2.37</v>
      </c>
      <c r="AX14" s="73">
        <v>39.56</v>
      </c>
      <c r="AY14" s="73">
        <v>0.56999999999999995</v>
      </c>
      <c r="AZ14" s="73">
        <v>1.83</v>
      </c>
      <c r="BA14" s="74"/>
      <c r="BB14" s="78">
        <v>1</v>
      </c>
      <c r="BC14" s="59">
        <v>1E-3</v>
      </c>
      <c r="BD14" s="59">
        <v>1E-3</v>
      </c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>
        <v>1E-3</v>
      </c>
      <c r="BS14" s="59"/>
      <c r="BT14" s="59">
        <v>1.4999999999999999E-2</v>
      </c>
      <c r="BU14" s="59">
        <v>0.01</v>
      </c>
    </row>
    <row r="15" spans="1:74" ht="53.25" customHeight="1" x14ac:dyDescent="0.45">
      <c r="A15" s="84" t="e">
        <f t="shared" si="2"/>
        <v>#REF!</v>
      </c>
      <c r="B15" s="84">
        <v>286</v>
      </c>
      <c r="C15" s="61">
        <v>111</v>
      </c>
      <c r="D15" s="61" t="s">
        <v>276</v>
      </c>
      <c r="E15" s="61" t="s">
        <v>239</v>
      </c>
      <c r="F15" s="61">
        <v>312</v>
      </c>
      <c r="G15" s="85" t="s">
        <v>66</v>
      </c>
      <c r="H15" s="85" t="s">
        <v>176</v>
      </c>
      <c r="I15" s="81" t="s">
        <v>103</v>
      </c>
      <c r="J15" s="59" t="s">
        <v>104</v>
      </c>
      <c r="K15" s="59" t="s">
        <v>287</v>
      </c>
      <c r="L15" s="60" t="s">
        <v>106</v>
      </c>
      <c r="M15" s="59" t="s">
        <v>191</v>
      </c>
      <c r="N15" s="61" t="s">
        <v>105</v>
      </c>
      <c r="O15" s="61">
        <v>111610859</v>
      </c>
      <c r="P15" s="90">
        <v>2</v>
      </c>
      <c r="Q15" s="90">
        <v>2</v>
      </c>
      <c r="R15" s="91">
        <v>1999</v>
      </c>
      <c r="S15" s="59" t="s">
        <v>257</v>
      </c>
      <c r="T15" s="59" t="s">
        <v>328</v>
      </c>
      <c r="U15" s="59">
        <v>3</v>
      </c>
      <c r="V15" s="94">
        <v>42811</v>
      </c>
      <c r="W15" s="93" t="str">
        <f ca="1">IF(OR(U15="----",U15="після ремонту",U15="індикаторний",V15="здан"),"----",IF(AB15="брак","ремонт",IF(V15+U15*365&lt;TODAY(),"повірка",V15+U15*365)))</f>
        <v>повірка</v>
      </c>
      <c r="X15" s="93"/>
      <c r="Y15" s="59" t="s">
        <v>223</v>
      </c>
      <c r="Z15" s="64"/>
      <c r="AA15" s="65">
        <f t="shared" ca="1" si="0"/>
        <v>2</v>
      </c>
      <c r="AB15" s="66"/>
      <c r="AC15" s="64"/>
      <c r="AD15" s="67" t="s">
        <v>166</v>
      </c>
      <c r="AE15" s="64"/>
      <c r="AF15" s="67" t="s">
        <v>167</v>
      </c>
      <c r="AG15" s="67"/>
      <c r="AH15" s="68"/>
      <c r="AI15" s="76"/>
      <c r="AJ15" s="77"/>
      <c r="AK15" s="64" t="s">
        <v>166</v>
      </c>
      <c r="AL15" s="70" t="s">
        <v>221</v>
      </c>
      <c r="AM15" s="70" t="s">
        <v>222</v>
      </c>
      <c r="AN15" s="71">
        <v>1</v>
      </c>
      <c r="AO15" s="71">
        <v>1</v>
      </c>
      <c r="AP15" s="71">
        <v>1</v>
      </c>
      <c r="AQ15" s="62">
        <v>1</v>
      </c>
      <c r="AR15" s="68"/>
      <c r="AS15" s="68"/>
      <c r="AT15" s="68"/>
      <c r="AU15" s="68"/>
      <c r="AV15" s="72">
        <v>77023</v>
      </c>
      <c r="AW15" s="73">
        <v>8.5925999999999991</v>
      </c>
      <c r="AX15" s="73">
        <v>121.259</v>
      </c>
      <c r="AY15" s="73">
        <v>0</v>
      </c>
      <c r="AZ15" s="73">
        <v>0</v>
      </c>
      <c r="BA15" s="74"/>
      <c r="BB15" s="78">
        <v>1</v>
      </c>
      <c r="BC15" s="59">
        <v>1E-3</v>
      </c>
      <c r="BD15" s="59">
        <v>1E-3</v>
      </c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>
        <v>1E-3</v>
      </c>
      <c r="BS15" s="59"/>
      <c r="BT15" s="59">
        <v>1.4999999999999999E-2</v>
      </c>
      <c r="BU15" s="59">
        <v>0.01</v>
      </c>
      <c r="BV15" s="111">
        <f t="shared" ref="BV15:BV19" si="7">2024-R15</f>
        <v>25</v>
      </c>
    </row>
    <row r="16" spans="1:74" ht="49.15" customHeight="1" x14ac:dyDescent="0.45">
      <c r="A16" s="84" t="e">
        <f t="shared" si="2"/>
        <v>#REF!</v>
      </c>
      <c r="B16" s="84">
        <v>297</v>
      </c>
      <c r="C16" s="61">
        <v>111</v>
      </c>
      <c r="D16" s="61" t="s">
        <v>10</v>
      </c>
      <c r="E16" s="61" t="s">
        <v>239</v>
      </c>
      <c r="F16" s="61">
        <v>312</v>
      </c>
      <c r="G16" s="85"/>
      <c r="H16" s="85" t="s">
        <v>176</v>
      </c>
      <c r="I16" s="81" t="s">
        <v>107</v>
      </c>
      <c r="J16" s="59" t="s">
        <v>108</v>
      </c>
      <c r="K16" s="59" t="s">
        <v>288</v>
      </c>
      <c r="L16" s="60" t="s">
        <v>110</v>
      </c>
      <c r="M16" s="59" t="s">
        <v>192</v>
      </c>
      <c r="N16" s="61" t="s">
        <v>109</v>
      </c>
      <c r="O16" s="61">
        <v>111610896</v>
      </c>
      <c r="P16" s="90">
        <v>2</v>
      </c>
      <c r="Q16" s="90">
        <v>2</v>
      </c>
      <c r="R16" s="91">
        <v>1990</v>
      </c>
      <c r="S16" s="59" t="s">
        <v>258</v>
      </c>
      <c r="T16" s="59" t="s">
        <v>259</v>
      </c>
      <c r="U16" s="59">
        <v>1</v>
      </c>
      <c r="V16" s="94">
        <v>45783</v>
      </c>
      <c r="W16" s="94">
        <f t="shared" ref="W16:W18" ca="1" si="8">IF(OR(U16="----",U16="після ремонту",U16="індикаторний"),"----",IF(AB16="брак","ремонт",IF(V16="здан","в повірці",IF(V16+U16*365&lt;TODAY(),"повірка",V16+U16*365))))</f>
        <v>46148</v>
      </c>
      <c r="X16" s="93"/>
      <c r="Y16" s="59" t="s">
        <v>220</v>
      </c>
      <c r="Z16" s="64"/>
      <c r="AA16" s="65">
        <f t="shared" ca="1" si="0"/>
        <v>1</v>
      </c>
      <c r="AB16" s="66"/>
      <c r="AC16" s="64"/>
      <c r="AD16" s="67" t="s">
        <v>167</v>
      </c>
      <c r="AE16" s="64">
        <v>312</v>
      </c>
      <c r="AF16" s="67" t="s">
        <v>171</v>
      </c>
      <c r="AG16" s="67" t="s">
        <v>168</v>
      </c>
      <c r="AH16" s="68" t="s">
        <v>169</v>
      </c>
      <c r="AI16" s="76"/>
      <c r="AJ16" s="77"/>
      <c r="AK16" s="64" t="s">
        <v>177</v>
      </c>
      <c r="AL16" s="70" t="s">
        <v>221</v>
      </c>
      <c r="AM16" s="70" t="s">
        <v>222</v>
      </c>
      <c r="AN16" s="71">
        <v>1</v>
      </c>
      <c r="AO16" s="71">
        <v>1</v>
      </c>
      <c r="AP16" s="71">
        <v>1</v>
      </c>
      <c r="AQ16" s="62">
        <v>1</v>
      </c>
      <c r="AR16" s="68"/>
      <c r="AS16" s="68"/>
      <c r="AT16" s="68"/>
      <c r="AU16" s="68"/>
      <c r="AV16" s="72">
        <v>44658</v>
      </c>
      <c r="AW16" s="73">
        <v>41.4</v>
      </c>
      <c r="AX16" s="73">
        <v>40.6</v>
      </c>
      <c r="AY16" s="73">
        <v>0</v>
      </c>
      <c r="AZ16" s="73">
        <v>0.3</v>
      </c>
      <c r="BA16" s="74"/>
      <c r="BB16" s="78">
        <v>1</v>
      </c>
      <c r="BC16" s="59">
        <v>1E-3</v>
      </c>
      <c r="BD16" s="59">
        <v>1E-3</v>
      </c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>
        <v>1E-3</v>
      </c>
      <c r="BS16" s="59"/>
      <c r="BT16" s="59">
        <v>1.4999999999999999E-2</v>
      </c>
      <c r="BU16" s="59">
        <v>0.01</v>
      </c>
      <c r="BV16" s="111">
        <f t="shared" si="7"/>
        <v>34</v>
      </c>
    </row>
    <row r="17" spans="1:74" ht="60" customHeight="1" x14ac:dyDescent="0.45">
      <c r="A17" s="84" t="e">
        <f t="shared" si="2"/>
        <v>#REF!</v>
      </c>
      <c r="B17" s="84">
        <v>298</v>
      </c>
      <c r="C17" s="61">
        <v>111</v>
      </c>
      <c r="D17" s="61" t="s">
        <v>276</v>
      </c>
      <c r="E17" s="61" t="s">
        <v>238</v>
      </c>
      <c r="F17" s="61">
        <v>312</v>
      </c>
      <c r="G17" s="85"/>
      <c r="H17" s="85" t="s">
        <v>176</v>
      </c>
      <c r="I17" s="81" t="s">
        <v>107</v>
      </c>
      <c r="J17" s="59" t="s">
        <v>108</v>
      </c>
      <c r="K17" s="59" t="s">
        <v>288</v>
      </c>
      <c r="L17" s="60" t="s">
        <v>111</v>
      </c>
      <c r="M17" s="59" t="s">
        <v>193</v>
      </c>
      <c r="N17" s="61" t="s">
        <v>109</v>
      </c>
      <c r="O17" s="61">
        <v>111610897</v>
      </c>
      <c r="P17" s="90">
        <v>2</v>
      </c>
      <c r="Q17" s="90">
        <v>2</v>
      </c>
      <c r="R17" s="91">
        <v>1989</v>
      </c>
      <c r="S17" s="59" t="s">
        <v>258</v>
      </c>
      <c r="T17" s="59" t="s">
        <v>259</v>
      </c>
      <c r="U17" s="59">
        <v>1</v>
      </c>
      <c r="V17" s="94">
        <v>45779</v>
      </c>
      <c r="W17" s="94">
        <f t="shared" ca="1" si="8"/>
        <v>46144</v>
      </c>
      <c r="X17" s="93"/>
      <c r="Y17" s="59" t="s">
        <v>220</v>
      </c>
      <c r="Z17" s="64"/>
      <c r="AA17" s="65">
        <f t="shared" ca="1" si="0"/>
        <v>1</v>
      </c>
      <c r="AB17" s="66"/>
      <c r="AC17" s="64"/>
      <c r="AD17" s="67" t="s">
        <v>167</v>
      </c>
      <c r="AE17" s="64">
        <v>312</v>
      </c>
      <c r="AF17" s="67" t="s">
        <v>171</v>
      </c>
      <c r="AG17" s="67" t="s">
        <v>168</v>
      </c>
      <c r="AH17" s="68" t="s">
        <v>169</v>
      </c>
      <c r="AI17" s="76"/>
      <c r="AJ17" s="77"/>
      <c r="AK17" s="64" t="s">
        <v>177</v>
      </c>
      <c r="AL17" s="70" t="s">
        <v>221</v>
      </c>
      <c r="AM17" s="70" t="s">
        <v>222</v>
      </c>
      <c r="AN17" s="71">
        <v>1</v>
      </c>
      <c r="AO17" s="71">
        <v>1</v>
      </c>
      <c r="AP17" s="71">
        <v>1</v>
      </c>
      <c r="AQ17" s="62">
        <v>1</v>
      </c>
      <c r="AR17" s="68"/>
      <c r="AS17" s="68"/>
      <c r="AT17" s="68"/>
      <c r="AU17" s="68"/>
      <c r="AV17" s="72">
        <v>44658</v>
      </c>
      <c r="AW17" s="73">
        <v>41.4</v>
      </c>
      <c r="AX17" s="73">
        <v>40.6</v>
      </c>
      <c r="AY17" s="73">
        <v>0</v>
      </c>
      <c r="AZ17" s="73">
        <v>0.3</v>
      </c>
      <c r="BA17" s="74"/>
      <c r="BB17" s="78">
        <v>1</v>
      </c>
      <c r="BC17" s="59">
        <v>1E-3</v>
      </c>
      <c r="BD17" s="59">
        <v>1E-3</v>
      </c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>
        <v>1E-3</v>
      </c>
      <c r="BS17" s="59"/>
      <c r="BT17" s="59">
        <v>1.4999999999999999E-2</v>
      </c>
      <c r="BU17" s="59">
        <v>0.01</v>
      </c>
      <c r="BV17" s="111">
        <f t="shared" si="7"/>
        <v>35</v>
      </c>
    </row>
    <row r="18" spans="1:74" ht="52.5" customHeight="1" x14ac:dyDescent="0.35">
      <c r="A18" s="84" t="e">
        <f t="shared" si="2"/>
        <v>#REF!</v>
      </c>
      <c r="B18" s="84">
        <v>303</v>
      </c>
      <c r="C18" s="61">
        <v>111</v>
      </c>
      <c r="D18" s="61" t="s">
        <v>276</v>
      </c>
      <c r="E18" s="61" t="s">
        <v>238</v>
      </c>
      <c r="F18" s="61">
        <v>312</v>
      </c>
      <c r="G18" s="85"/>
      <c r="H18" s="85" t="s">
        <v>176</v>
      </c>
      <c r="I18" s="81" t="s">
        <v>112</v>
      </c>
      <c r="J18" s="59" t="s">
        <v>16</v>
      </c>
      <c r="K18" s="59" t="s">
        <v>289</v>
      </c>
      <c r="L18" s="60" t="s">
        <v>113</v>
      </c>
      <c r="M18" s="59" t="s">
        <v>194</v>
      </c>
      <c r="N18" s="61" t="s">
        <v>43</v>
      </c>
      <c r="O18" s="61">
        <v>111610932</v>
      </c>
      <c r="P18" s="90">
        <v>2</v>
      </c>
      <c r="Q18" s="90">
        <v>2</v>
      </c>
      <c r="R18" s="91">
        <v>1988</v>
      </c>
      <c r="S18" s="59" t="s">
        <v>320</v>
      </c>
      <c r="T18" s="59" t="s">
        <v>230</v>
      </c>
      <c r="U18" s="59">
        <v>1</v>
      </c>
      <c r="V18" s="94">
        <v>45786</v>
      </c>
      <c r="W18" s="94">
        <f t="shared" ca="1" si="8"/>
        <v>46151</v>
      </c>
      <c r="X18" s="93"/>
      <c r="Y18" s="59" t="s">
        <v>220</v>
      </c>
      <c r="Z18" s="64"/>
      <c r="AA18" s="65">
        <f t="shared" ca="1" si="0"/>
        <v>1</v>
      </c>
      <c r="AB18" s="66"/>
      <c r="AC18" s="64"/>
      <c r="AD18" s="67" t="s">
        <v>167</v>
      </c>
      <c r="AE18" s="64">
        <v>312</v>
      </c>
      <c r="AF18" s="67" t="s">
        <v>171</v>
      </c>
      <c r="AG18" s="67" t="s">
        <v>168</v>
      </c>
      <c r="AH18" s="68" t="s">
        <v>169</v>
      </c>
      <c r="AI18" s="76"/>
      <c r="AJ18" s="77"/>
      <c r="AK18" s="64" t="s">
        <v>173</v>
      </c>
      <c r="AL18" s="70" t="s">
        <v>221</v>
      </c>
      <c r="AM18" s="70" t="s">
        <v>222</v>
      </c>
      <c r="AN18" s="71">
        <v>1</v>
      </c>
      <c r="AO18" s="71">
        <v>1</v>
      </c>
      <c r="AP18" s="71">
        <v>1</v>
      </c>
      <c r="AQ18" s="62">
        <v>1</v>
      </c>
      <c r="AR18" s="68"/>
      <c r="AS18" s="68"/>
      <c r="AT18" s="68"/>
      <c r="AU18" s="68"/>
      <c r="AV18" s="72">
        <v>10280</v>
      </c>
      <c r="AW18" s="73">
        <v>0.49425000000000002</v>
      </c>
      <c r="AX18" s="73">
        <v>6.3816164000000004</v>
      </c>
      <c r="AY18" s="73">
        <v>0.51936300000000002</v>
      </c>
      <c r="AZ18" s="73">
        <v>0</v>
      </c>
      <c r="BA18" s="74"/>
      <c r="BB18" s="75">
        <v>5</v>
      </c>
      <c r="BC18" s="59">
        <v>5.0000000000000001E-3</v>
      </c>
      <c r="BD18" s="59"/>
      <c r="BE18" s="59"/>
      <c r="BF18" s="59"/>
      <c r="BG18" s="59"/>
      <c r="BH18" s="59"/>
      <c r="BI18" s="59"/>
      <c r="BJ18" s="59"/>
      <c r="BK18" s="59"/>
      <c r="BL18" s="59">
        <v>5.0000000000000001E-3</v>
      </c>
      <c r="BM18" s="59"/>
      <c r="BN18" s="59"/>
      <c r="BO18" s="59"/>
      <c r="BP18" s="59"/>
      <c r="BQ18" s="59"/>
      <c r="BR18" s="59"/>
      <c r="BS18" s="59"/>
      <c r="BT18" s="59">
        <v>0.02</v>
      </c>
      <c r="BU18" s="59">
        <v>0.01</v>
      </c>
      <c r="BV18" s="111">
        <f t="shared" si="7"/>
        <v>36</v>
      </c>
    </row>
    <row r="19" spans="1:74" ht="46.9" customHeight="1" x14ac:dyDescent="0.35">
      <c r="A19" s="84" t="e">
        <f t="shared" si="2"/>
        <v>#REF!</v>
      </c>
      <c r="B19" s="84">
        <v>305</v>
      </c>
      <c r="C19" s="61">
        <v>111</v>
      </c>
      <c r="D19" s="61" t="s">
        <v>10</v>
      </c>
      <c r="E19" s="61" t="s">
        <v>239</v>
      </c>
      <c r="F19" s="61">
        <v>312</v>
      </c>
      <c r="G19" s="85"/>
      <c r="H19" s="85" t="s">
        <v>176</v>
      </c>
      <c r="I19" s="81" t="s">
        <v>114</v>
      </c>
      <c r="J19" s="59" t="s">
        <v>17</v>
      </c>
      <c r="K19" s="59" t="s">
        <v>290</v>
      </c>
      <c r="L19" s="60" t="s">
        <v>115</v>
      </c>
      <c r="M19" s="59" t="s">
        <v>195</v>
      </c>
      <c r="N19" s="61" t="s">
        <v>44</v>
      </c>
      <c r="O19" s="61">
        <v>111610941</v>
      </c>
      <c r="P19" s="90">
        <v>2</v>
      </c>
      <c r="Q19" s="90">
        <v>2</v>
      </c>
      <c r="R19" s="91">
        <v>1983</v>
      </c>
      <c r="S19" s="59" t="s">
        <v>260</v>
      </c>
      <c r="T19" s="59" t="s">
        <v>231</v>
      </c>
      <c r="U19" s="59">
        <v>1</v>
      </c>
      <c r="V19" s="94">
        <v>45852</v>
      </c>
      <c r="W19" s="93">
        <f ca="1">IF(OR(U19="----",U19="після ремонту",U19="індикаторний",V19="здан"),"----",IF(AB19="брак","ремонт",IF(V19+U19*365&lt;TODAY(),"повірка",V19+U19*365)))</f>
        <v>46217</v>
      </c>
      <c r="X19" s="93"/>
      <c r="Y19" s="59" t="s">
        <v>220</v>
      </c>
      <c r="Z19" s="64"/>
      <c r="AA19" s="65">
        <f t="shared" ca="1" si="0"/>
        <v>1</v>
      </c>
      <c r="AB19" s="66"/>
      <c r="AC19" s="64"/>
      <c r="AD19" s="67" t="s">
        <v>174</v>
      </c>
      <c r="AE19" s="64"/>
      <c r="AF19" s="67" t="s">
        <v>174</v>
      </c>
      <c r="AG19" s="67" t="s">
        <v>168</v>
      </c>
      <c r="AH19" s="68" t="s">
        <v>169</v>
      </c>
      <c r="AI19" s="76"/>
      <c r="AJ19" s="77"/>
      <c r="AK19" s="64" t="s">
        <v>173</v>
      </c>
      <c r="AL19" s="70" t="s">
        <v>221</v>
      </c>
      <c r="AM19" s="70" t="s">
        <v>222</v>
      </c>
      <c r="AN19" s="71">
        <v>1</v>
      </c>
      <c r="AO19" s="71">
        <v>1</v>
      </c>
      <c r="AP19" s="71">
        <v>1</v>
      </c>
      <c r="AQ19" s="62">
        <v>1</v>
      </c>
      <c r="AR19" s="68"/>
      <c r="AS19" s="68"/>
      <c r="AT19" s="68"/>
      <c r="AU19" s="68"/>
      <c r="AV19" s="72">
        <v>26303</v>
      </c>
      <c r="AW19" s="73">
        <v>2.1560000000000001</v>
      </c>
      <c r="AX19" s="73">
        <v>9.0660000000000007</v>
      </c>
      <c r="AY19" s="73">
        <v>0</v>
      </c>
      <c r="AZ19" s="73">
        <v>1.1200000000000001</v>
      </c>
      <c r="BA19" s="74"/>
      <c r="BB19" s="75">
        <v>5</v>
      </c>
      <c r="BC19" s="59">
        <v>5.0000000000000001E-3</v>
      </c>
      <c r="BD19" s="59"/>
      <c r="BE19" s="59"/>
      <c r="BF19" s="59"/>
      <c r="BG19" s="59"/>
      <c r="BH19" s="59"/>
      <c r="BI19" s="59"/>
      <c r="BJ19" s="59"/>
      <c r="BK19" s="59"/>
      <c r="BL19" s="59">
        <v>5.0000000000000001E-3</v>
      </c>
      <c r="BM19" s="59"/>
      <c r="BN19" s="59"/>
      <c r="BO19" s="59"/>
      <c r="BP19" s="59"/>
      <c r="BQ19" s="59"/>
      <c r="BR19" s="59"/>
      <c r="BS19" s="59"/>
      <c r="BT19" s="59">
        <v>0.02</v>
      </c>
      <c r="BU19" s="59">
        <v>0.01</v>
      </c>
      <c r="BV19" s="111">
        <f t="shared" si="7"/>
        <v>41</v>
      </c>
    </row>
    <row r="20" spans="1:74" ht="49.15" customHeight="1" x14ac:dyDescent="0.45">
      <c r="A20" s="84" t="e">
        <f t="shared" si="2"/>
        <v>#REF!</v>
      </c>
      <c r="B20" s="84">
        <v>308</v>
      </c>
      <c r="C20" s="61">
        <v>112</v>
      </c>
      <c r="D20" s="61" t="s">
        <v>274</v>
      </c>
      <c r="E20" s="61" t="s">
        <v>238</v>
      </c>
      <c r="F20" s="61">
        <v>303</v>
      </c>
      <c r="G20" s="85"/>
      <c r="H20" s="85" t="s">
        <v>176</v>
      </c>
      <c r="I20" s="81" t="s">
        <v>116</v>
      </c>
      <c r="J20" s="59" t="s">
        <v>117</v>
      </c>
      <c r="K20" s="59" t="s">
        <v>291</v>
      </c>
      <c r="L20" s="60" t="s">
        <v>119</v>
      </c>
      <c r="M20" s="59" t="s">
        <v>207</v>
      </c>
      <c r="N20" s="61" t="s">
        <v>118</v>
      </c>
      <c r="O20" s="61">
        <v>111610965</v>
      </c>
      <c r="P20" s="90">
        <v>2</v>
      </c>
      <c r="Q20" s="90">
        <v>2</v>
      </c>
      <c r="R20" s="91">
        <v>1990</v>
      </c>
      <c r="S20" s="100" t="s">
        <v>322</v>
      </c>
      <c r="T20" s="100" t="s">
        <v>243</v>
      </c>
      <c r="U20" s="59">
        <v>1</v>
      </c>
      <c r="V20" s="94">
        <v>37720</v>
      </c>
      <c r="W20" s="93" t="str">
        <f t="shared" ref="W20" ca="1" si="9">IF(OR(U20="----",U20="після ремонту",U20="індикаторний"),"----",IF(AB20="брак","ремонт",IF(V20="здан","в повірці",IF(V20+U20*365&lt;TODAY(),"повірка",V20+U20*365))))</f>
        <v>повірка</v>
      </c>
      <c r="X20" s="93"/>
      <c r="Y20" s="59" t="s">
        <v>220</v>
      </c>
      <c r="Z20" s="64"/>
      <c r="AA20" s="65">
        <f t="shared" ca="1" si="0"/>
        <v>2</v>
      </c>
      <c r="AB20" s="66"/>
      <c r="AC20" s="64"/>
      <c r="AD20" s="79" t="s">
        <v>240</v>
      </c>
      <c r="AE20" s="80">
        <v>303</v>
      </c>
      <c r="AF20" s="79" t="s">
        <v>167</v>
      </c>
      <c r="AG20" s="79" t="s">
        <v>168</v>
      </c>
      <c r="AH20" s="68" t="s">
        <v>169</v>
      </c>
      <c r="AI20" s="76"/>
      <c r="AJ20" s="69"/>
      <c r="AK20" s="64" t="s">
        <v>173</v>
      </c>
      <c r="AL20" s="70" t="s">
        <v>221</v>
      </c>
      <c r="AM20" s="70" t="s">
        <v>222</v>
      </c>
      <c r="AN20" s="71">
        <v>1</v>
      </c>
      <c r="AO20" s="71">
        <v>1</v>
      </c>
      <c r="AP20" s="71">
        <v>1</v>
      </c>
      <c r="AQ20" s="62">
        <v>1</v>
      </c>
      <c r="AR20" s="68"/>
      <c r="AS20" s="68"/>
      <c r="AT20" s="68"/>
      <c r="AU20" s="68"/>
      <c r="AV20" s="72">
        <v>280087</v>
      </c>
      <c r="AW20" s="73">
        <v>74.355649999999997</v>
      </c>
      <c r="AX20" s="73">
        <v>92.863140000000001</v>
      </c>
      <c r="AY20" s="73">
        <v>0.94110000000000005</v>
      </c>
      <c r="AZ20" s="73">
        <v>1.1876500000000001</v>
      </c>
      <c r="BA20" s="74"/>
      <c r="BB20" s="78">
        <v>6</v>
      </c>
      <c r="BC20" s="59">
        <v>0.02</v>
      </c>
      <c r="BD20" s="59">
        <v>0.02</v>
      </c>
      <c r="BE20" s="59">
        <v>0.01</v>
      </c>
      <c r="BF20" s="59">
        <v>0.01</v>
      </c>
      <c r="BG20" s="59"/>
      <c r="BH20" s="59"/>
      <c r="BI20" s="59"/>
      <c r="BJ20" s="59"/>
      <c r="BK20" s="59"/>
      <c r="BL20" s="59"/>
      <c r="BM20" s="59"/>
      <c r="BN20" s="59">
        <v>5.0000000000000001E-3</v>
      </c>
      <c r="BO20" s="59"/>
      <c r="BP20" s="59">
        <v>5.0000000000000001E-3</v>
      </c>
      <c r="BQ20" s="59">
        <v>0.01</v>
      </c>
      <c r="BR20" s="59">
        <v>5.0000000000000001E-3</v>
      </c>
      <c r="BS20" s="59"/>
      <c r="BT20" s="59">
        <v>0.02</v>
      </c>
      <c r="BU20" s="59">
        <v>0.04</v>
      </c>
    </row>
    <row r="21" spans="1:74" ht="46.9" customHeight="1" x14ac:dyDescent="0.35">
      <c r="A21" s="84" t="e">
        <f t="shared" si="2"/>
        <v>#REF!</v>
      </c>
      <c r="B21" s="84">
        <v>343</v>
      </c>
      <c r="C21" s="61">
        <v>112</v>
      </c>
      <c r="D21" s="61" t="s">
        <v>10</v>
      </c>
      <c r="E21" s="61" t="s">
        <v>239</v>
      </c>
      <c r="F21" s="61">
        <v>303</v>
      </c>
      <c r="G21" s="85"/>
      <c r="H21" s="85" t="s">
        <v>176</v>
      </c>
      <c r="I21" s="81" t="s">
        <v>7</v>
      </c>
      <c r="J21" s="59" t="s">
        <v>120</v>
      </c>
      <c r="K21" s="59" t="s">
        <v>292</v>
      </c>
      <c r="L21" s="60" t="s">
        <v>122</v>
      </c>
      <c r="M21" s="59" t="s">
        <v>208</v>
      </c>
      <c r="N21" s="61" t="s">
        <v>121</v>
      </c>
      <c r="O21" s="61">
        <v>111611152</v>
      </c>
      <c r="P21" s="90">
        <v>2</v>
      </c>
      <c r="Q21" s="90">
        <v>2</v>
      </c>
      <c r="R21" s="91">
        <v>1975</v>
      </c>
      <c r="S21" s="59" t="s">
        <v>261</v>
      </c>
      <c r="T21" s="59" t="s">
        <v>262</v>
      </c>
      <c r="U21" s="59">
        <v>2</v>
      </c>
      <c r="V21" s="102">
        <v>45355</v>
      </c>
      <c r="W21" s="103">
        <f ca="1">IF(OR(U21="----",U21="після ремонту",U21="індикаторний"),"----",IF(AB21="брак","ремонт",IF(V21="здан","в повірці",IF(V21+U21*365&lt;TODAY(),"повірка",V21+U21*365))))</f>
        <v>46085</v>
      </c>
      <c r="X21" s="93"/>
      <c r="Y21" s="59" t="s">
        <v>223</v>
      </c>
      <c r="Z21" s="64"/>
      <c r="AA21" s="65">
        <f t="shared" ref="AA21:AA37" ca="1" si="10">IF(W21="----",0,IF(W21="ремонт",3,IF(W21="повірка",2,IF(W21="в повірці",4,1))))</f>
        <v>1</v>
      </c>
      <c r="AB21" s="66"/>
      <c r="AC21" s="64"/>
      <c r="AD21" s="64" t="s">
        <v>167</v>
      </c>
      <c r="AE21" s="64">
        <v>303</v>
      </c>
      <c r="AF21" s="64" t="s">
        <v>167</v>
      </c>
      <c r="AG21" s="64" t="s">
        <v>168</v>
      </c>
      <c r="AH21" s="68" t="s">
        <v>169</v>
      </c>
      <c r="AI21" s="76"/>
      <c r="AJ21" s="77"/>
      <c r="AK21" s="64" t="s">
        <v>173</v>
      </c>
      <c r="AL21" s="70" t="s">
        <v>221</v>
      </c>
      <c r="AM21" s="70" t="s">
        <v>222</v>
      </c>
      <c r="AN21" s="71">
        <v>1</v>
      </c>
      <c r="AO21" s="71">
        <v>1</v>
      </c>
      <c r="AP21" s="71">
        <v>1</v>
      </c>
      <c r="AQ21" s="71"/>
      <c r="AR21" s="68"/>
      <c r="AS21" s="68"/>
      <c r="AT21" s="68"/>
      <c r="AU21" s="68"/>
      <c r="AV21" s="72">
        <v>4343</v>
      </c>
      <c r="AW21" s="73">
        <v>4</v>
      </c>
      <c r="AX21" s="73">
        <v>4.47</v>
      </c>
      <c r="AY21" s="73">
        <v>0</v>
      </c>
      <c r="AZ21" s="73">
        <v>5.3440000000000001E-2</v>
      </c>
      <c r="BA21" s="74"/>
      <c r="BB21" s="75">
        <v>4</v>
      </c>
      <c r="BC21" s="59">
        <v>1E-3</v>
      </c>
      <c r="BD21" s="59">
        <v>1E-3</v>
      </c>
      <c r="BE21" s="59">
        <v>5.0000000000000001E-3</v>
      </c>
      <c r="BF21" s="59"/>
      <c r="BG21" s="59"/>
      <c r="BH21" s="59"/>
      <c r="BI21" s="59"/>
      <c r="BJ21" s="59"/>
      <c r="BK21" s="59"/>
      <c r="BL21" s="59"/>
      <c r="BM21" s="59"/>
      <c r="BN21" s="59">
        <v>5.0000000000000001E-3</v>
      </c>
      <c r="BO21" s="59"/>
      <c r="BP21" s="59"/>
      <c r="BQ21" s="59"/>
      <c r="BR21" s="59">
        <v>1E-3</v>
      </c>
      <c r="BS21" s="59"/>
      <c r="BT21" s="59">
        <v>0.02</v>
      </c>
      <c r="BU21" s="59">
        <v>0.01</v>
      </c>
    </row>
    <row r="22" spans="1:74" ht="44.25" customHeight="1" x14ac:dyDescent="0.35">
      <c r="A22" s="84" t="e">
        <f t="shared" si="2"/>
        <v>#REF!</v>
      </c>
      <c r="B22" s="84">
        <v>348</v>
      </c>
      <c r="C22" s="61">
        <v>112</v>
      </c>
      <c r="D22" s="61" t="s">
        <v>274</v>
      </c>
      <c r="E22" s="61" t="s">
        <v>239</v>
      </c>
      <c r="F22" s="61">
        <v>303</v>
      </c>
      <c r="G22" s="85"/>
      <c r="H22" s="87" t="s">
        <v>176</v>
      </c>
      <c r="I22" s="81" t="s">
        <v>7</v>
      </c>
      <c r="J22" s="59" t="s">
        <v>15</v>
      </c>
      <c r="K22" s="59" t="s">
        <v>293</v>
      </c>
      <c r="L22" s="60" t="s">
        <v>123</v>
      </c>
      <c r="M22" s="59" t="s">
        <v>209</v>
      </c>
      <c r="N22" s="61" t="s">
        <v>42</v>
      </c>
      <c r="O22" s="61">
        <v>111611175</v>
      </c>
      <c r="P22" s="90">
        <v>2</v>
      </c>
      <c r="Q22" s="90">
        <v>2</v>
      </c>
      <c r="R22" s="91">
        <v>1986</v>
      </c>
      <c r="S22" s="59" t="s">
        <v>228</v>
      </c>
      <c r="T22" s="59" t="s">
        <v>329</v>
      </c>
      <c r="U22" s="59">
        <v>2</v>
      </c>
      <c r="V22" s="102">
        <v>45475</v>
      </c>
      <c r="W22" s="93">
        <f t="shared" ref="W22" ca="1" si="11">IF(OR(U22="----",U22="після ремонту",U22="індикаторний",V22="здан"),"----",IF(AB22="брак","ремонт",IF(V22+U22*365&lt;TODAY(),"повірка",V22+U22*365)))</f>
        <v>46205</v>
      </c>
      <c r="X22" s="93"/>
      <c r="Y22" s="59" t="s">
        <v>223</v>
      </c>
      <c r="Z22" s="64"/>
      <c r="AA22" s="65">
        <f t="shared" ca="1" si="10"/>
        <v>1</v>
      </c>
      <c r="AB22" s="66"/>
      <c r="AC22" s="64"/>
      <c r="AD22" s="67" t="s">
        <v>167</v>
      </c>
      <c r="AE22" s="64">
        <v>303</v>
      </c>
      <c r="AF22" s="67" t="s">
        <v>167</v>
      </c>
      <c r="AG22" s="67" t="s">
        <v>168</v>
      </c>
      <c r="AH22" s="68" t="s">
        <v>169</v>
      </c>
      <c r="AI22" s="64"/>
      <c r="AJ22" s="76"/>
      <c r="AK22" s="64" t="s">
        <v>173</v>
      </c>
      <c r="AL22" s="70" t="s">
        <v>221</v>
      </c>
      <c r="AM22" s="70" t="s">
        <v>222</v>
      </c>
      <c r="AN22" s="71">
        <v>1</v>
      </c>
      <c r="AO22" s="71">
        <v>1</v>
      </c>
      <c r="AP22" s="71">
        <v>1</v>
      </c>
      <c r="AQ22" s="62">
        <v>1</v>
      </c>
      <c r="AR22" s="68"/>
      <c r="AS22" s="68"/>
      <c r="AT22" s="68"/>
      <c r="AU22" s="68"/>
      <c r="AV22" s="72">
        <v>19740</v>
      </c>
      <c r="AW22" s="73">
        <v>1.2150000000000001</v>
      </c>
      <c r="AX22" s="73">
        <v>95.53</v>
      </c>
      <c r="AY22" s="73">
        <v>0.01</v>
      </c>
      <c r="AZ22" s="73">
        <v>7.8E-2</v>
      </c>
      <c r="BA22" s="74"/>
      <c r="BB22" s="75">
        <v>4</v>
      </c>
      <c r="BC22" s="59">
        <v>1E-3</v>
      </c>
      <c r="BD22" s="59">
        <v>1E-3</v>
      </c>
      <c r="BE22" s="59">
        <v>5.0000000000000001E-3</v>
      </c>
      <c r="BF22" s="59"/>
      <c r="BG22" s="59"/>
      <c r="BH22" s="59"/>
      <c r="BI22" s="59"/>
      <c r="BJ22" s="59"/>
      <c r="BK22" s="59"/>
      <c r="BL22" s="59"/>
      <c r="BM22" s="59"/>
      <c r="BN22" s="59">
        <v>5.0000000000000001E-3</v>
      </c>
      <c r="BO22" s="59"/>
      <c r="BP22" s="59"/>
      <c r="BQ22" s="59"/>
      <c r="BR22" s="59">
        <v>1E-3</v>
      </c>
      <c r="BS22" s="59"/>
      <c r="BT22" s="59">
        <v>0.02</v>
      </c>
      <c r="BU22" s="59">
        <v>0.01</v>
      </c>
    </row>
    <row r="23" spans="1:74" ht="43.5" customHeight="1" x14ac:dyDescent="0.35">
      <c r="A23" s="84" t="e">
        <f t="shared" si="2"/>
        <v>#REF!</v>
      </c>
      <c r="B23" s="84">
        <v>353</v>
      </c>
      <c r="C23" s="61">
        <v>112</v>
      </c>
      <c r="D23" s="61" t="s">
        <v>10</v>
      </c>
      <c r="E23" s="61" t="s">
        <v>239</v>
      </c>
      <c r="F23" s="61">
        <v>303</v>
      </c>
      <c r="G23" s="85"/>
      <c r="H23" s="85" t="s">
        <v>176</v>
      </c>
      <c r="I23" s="81" t="s">
        <v>7</v>
      </c>
      <c r="J23" s="59" t="s">
        <v>124</v>
      </c>
      <c r="K23" s="59" t="s">
        <v>294</v>
      </c>
      <c r="L23" s="60" t="s">
        <v>126</v>
      </c>
      <c r="M23" s="59" t="s">
        <v>210</v>
      </c>
      <c r="N23" s="61" t="s">
        <v>125</v>
      </c>
      <c r="O23" s="61">
        <v>111611193</v>
      </c>
      <c r="P23" s="90">
        <v>2</v>
      </c>
      <c r="Q23" s="90">
        <v>2</v>
      </c>
      <c r="R23" s="91">
        <v>1980</v>
      </c>
      <c r="S23" s="59" t="s">
        <v>263</v>
      </c>
      <c r="T23" s="59" t="s">
        <v>264</v>
      </c>
      <c r="U23" s="59">
        <v>2</v>
      </c>
      <c r="V23" s="102">
        <v>45492</v>
      </c>
      <c r="W23" s="104">
        <f ca="1">IF(OR(U23="----",U23="після ремонту",U23="індикаторний"),"----",IF(AB23="брак","ремонт",IF(V23="здан","в повірці",IF(V23+U23*365&lt;TODAY(),"повірка",V23+U23*365))))</f>
        <v>46222</v>
      </c>
      <c r="X23" s="93"/>
      <c r="Y23" s="59" t="s">
        <v>223</v>
      </c>
      <c r="Z23" s="64"/>
      <c r="AA23" s="65">
        <f t="shared" ca="1" si="10"/>
        <v>1</v>
      </c>
      <c r="AB23" s="66"/>
      <c r="AC23" s="64"/>
      <c r="AD23" s="67" t="s">
        <v>167</v>
      </c>
      <c r="AE23" s="64">
        <v>303</v>
      </c>
      <c r="AF23" s="67" t="s">
        <v>167</v>
      </c>
      <c r="AG23" s="67" t="s">
        <v>168</v>
      </c>
      <c r="AH23" s="68" t="s">
        <v>169</v>
      </c>
      <c r="AI23" s="76"/>
      <c r="AJ23" s="77"/>
      <c r="AK23" s="64" t="s">
        <v>173</v>
      </c>
      <c r="AL23" s="70" t="s">
        <v>221</v>
      </c>
      <c r="AM23" s="70" t="s">
        <v>222</v>
      </c>
      <c r="AN23" s="71">
        <v>1</v>
      </c>
      <c r="AO23" s="71">
        <v>1</v>
      </c>
      <c r="AP23" s="71">
        <v>1</v>
      </c>
      <c r="AQ23" s="71"/>
      <c r="AR23" s="68"/>
      <c r="AS23" s="68"/>
      <c r="AT23" s="68"/>
      <c r="AU23" s="68"/>
      <c r="AV23" s="72">
        <v>16638</v>
      </c>
      <c r="AW23" s="73">
        <v>0</v>
      </c>
      <c r="AX23" s="73">
        <v>3.9E-2</v>
      </c>
      <c r="AY23" s="73">
        <v>0</v>
      </c>
      <c r="AZ23" s="73">
        <v>9.2230000000000006E-2</v>
      </c>
      <c r="BA23" s="74"/>
      <c r="BB23" s="75">
        <v>4</v>
      </c>
      <c r="BC23" s="59">
        <v>1E-3</v>
      </c>
      <c r="BD23" s="59">
        <v>1E-3</v>
      </c>
      <c r="BE23" s="59">
        <v>5.0000000000000001E-3</v>
      </c>
      <c r="BF23" s="59"/>
      <c r="BG23" s="59"/>
      <c r="BH23" s="59"/>
      <c r="BI23" s="59"/>
      <c r="BJ23" s="59"/>
      <c r="BK23" s="59"/>
      <c r="BL23" s="59"/>
      <c r="BM23" s="59"/>
      <c r="BN23" s="59">
        <v>5.0000000000000001E-3</v>
      </c>
      <c r="BO23" s="59"/>
      <c r="BP23" s="59"/>
      <c r="BQ23" s="59"/>
      <c r="BR23" s="59">
        <v>1E-3</v>
      </c>
      <c r="BS23" s="59"/>
      <c r="BT23" s="59">
        <v>0.02</v>
      </c>
      <c r="BU23" s="59">
        <v>0.01</v>
      </c>
    </row>
    <row r="24" spans="1:74" ht="53.65" customHeight="1" x14ac:dyDescent="0.45">
      <c r="A24" s="84" t="e">
        <f t="shared" si="2"/>
        <v>#REF!</v>
      </c>
      <c r="B24" s="84">
        <v>375</v>
      </c>
      <c r="C24" s="61">
        <v>111</v>
      </c>
      <c r="D24" s="61" t="s">
        <v>10</v>
      </c>
      <c r="E24" s="61" t="s">
        <v>239</v>
      </c>
      <c r="F24" s="61">
        <v>312</v>
      </c>
      <c r="G24" s="85"/>
      <c r="H24" s="85" t="s">
        <v>176</v>
      </c>
      <c r="I24" s="81" t="s">
        <v>127</v>
      </c>
      <c r="J24" s="59" t="s">
        <v>46</v>
      </c>
      <c r="K24" s="59" t="s">
        <v>295</v>
      </c>
      <c r="L24" s="60" t="s">
        <v>128</v>
      </c>
      <c r="M24" s="59" t="s">
        <v>196</v>
      </c>
      <c r="N24" s="61" t="s">
        <v>67</v>
      </c>
      <c r="O24" s="61">
        <v>111611316</v>
      </c>
      <c r="P24" s="90">
        <v>2</v>
      </c>
      <c r="Q24" s="90">
        <v>2</v>
      </c>
      <c r="R24" s="91">
        <v>1989</v>
      </c>
      <c r="S24" s="59" t="s">
        <v>232</v>
      </c>
      <c r="T24" s="59" t="s">
        <v>236</v>
      </c>
      <c r="U24" s="59">
        <v>3</v>
      </c>
      <c r="V24" s="94">
        <v>45334</v>
      </c>
      <c r="W24" s="93">
        <f t="shared" ref="W24:W26" ca="1" si="12">IF(OR(U24="----",U24="після ремонту",U24="індикаторний"),"----",IF(AB24="брак","ремонт",IF(V24="здан","в повірці",IF(V24+U24*365&lt;TODAY(),"повірка",V24+U24*365))))</f>
        <v>46429</v>
      </c>
      <c r="X24" s="93" t="s">
        <v>309</v>
      </c>
      <c r="Y24" s="59" t="s">
        <v>223</v>
      </c>
      <c r="Z24" s="64"/>
      <c r="AA24" s="65">
        <f t="shared" ca="1" si="10"/>
        <v>1</v>
      </c>
      <c r="AB24" s="66"/>
      <c r="AC24" s="64"/>
      <c r="AD24" s="64" t="s">
        <v>167</v>
      </c>
      <c r="AE24" s="64"/>
      <c r="AF24" s="64" t="s">
        <v>171</v>
      </c>
      <c r="AG24" s="64" t="s">
        <v>168</v>
      </c>
      <c r="AH24" s="68" t="s">
        <v>169</v>
      </c>
      <c r="AI24" s="76"/>
      <c r="AJ24" s="77" t="s">
        <v>310</v>
      </c>
      <c r="AK24" s="64" t="s">
        <v>173</v>
      </c>
      <c r="AL24" s="70" t="s">
        <v>221</v>
      </c>
      <c r="AM24" s="70" t="s">
        <v>222</v>
      </c>
      <c r="AN24" s="71">
        <v>1</v>
      </c>
      <c r="AO24" s="71">
        <v>1</v>
      </c>
      <c r="AP24" s="71">
        <v>1</v>
      </c>
      <c r="AQ24" s="62">
        <v>1</v>
      </c>
      <c r="AR24" s="68"/>
      <c r="AS24" s="68"/>
      <c r="AT24" s="68"/>
      <c r="AU24" s="68"/>
      <c r="AV24" s="72">
        <v>10575</v>
      </c>
      <c r="AW24" s="73">
        <v>4.8</v>
      </c>
      <c r="AX24" s="73">
        <v>11.5</v>
      </c>
      <c r="AY24" s="73">
        <v>0</v>
      </c>
      <c r="AZ24" s="73">
        <v>0.1</v>
      </c>
      <c r="BA24" s="74"/>
      <c r="BB24" s="78">
        <v>1</v>
      </c>
      <c r="BC24" s="59">
        <v>1E-3</v>
      </c>
      <c r="BD24" s="59">
        <v>1E-3</v>
      </c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>
        <v>1E-3</v>
      </c>
      <c r="BS24" s="59"/>
      <c r="BT24" s="59">
        <v>1.4999999999999999E-2</v>
      </c>
      <c r="BU24" s="59">
        <v>0.01</v>
      </c>
      <c r="BV24" s="111">
        <f t="shared" ref="BV24:BV26" si="13">2024-R24</f>
        <v>35</v>
      </c>
    </row>
    <row r="25" spans="1:74" ht="42.4" customHeight="1" x14ac:dyDescent="0.35">
      <c r="A25" s="84" t="e">
        <f t="shared" si="2"/>
        <v>#REF!</v>
      </c>
      <c r="B25" s="84">
        <v>377</v>
      </c>
      <c r="C25" s="61">
        <v>111</v>
      </c>
      <c r="D25" s="61" t="s">
        <v>10</v>
      </c>
      <c r="E25" s="61" t="s">
        <v>239</v>
      </c>
      <c r="F25" s="61">
        <v>312</v>
      </c>
      <c r="G25" s="85"/>
      <c r="H25" s="85" t="s">
        <v>176</v>
      </c>
      <c r="I25" s="81" t="s">
        <v>129</v>
      </c>
      <c r="J25" s="59" t="s">
        <v>19</v>
      </c>
      <c r="K25" s="59" t="s">
        <v>296</v>
      </c>
      <c r="L25" s="60" t="s">
        <v>131</v>
      </c>
      <c r="M25" s="59" t="s">
        <v>197</v>
      </c>
      <c r="N25" s="61" t="s">
        <v>130</v>
      </c>
      <c r="O25" s="61">
        <v>111611328</v>
      </c>
      <c r="P25" s="90">
        <v>2</v>
      </c>
      <c r="Q25" s="90">
        <v>2</v>
      </c>
      <c r="R25" s="91">
        <v>1980</v>
      </c>
      <c r="S25" s="59" t="s">
        <v>265</v>
      </c>
      <c r="T25" s="59" t="s">
        <v>10</v>
      </c>
      <c r="U25" s="59">
        <v>3</v>
      </c>
      <c r="V25" s="94">
        <v>45846</v>
      </c>
      <c r="W25" s="93">
        <f t="shared" ca="1" si="12"/>
        <v>46941</v>
      </c>
      <c r="X25" s="93"/>
      <c r="Y25" s="59" t="s">
        <v>220</v>
      </c>
      <c r="Z25" s="64"/>
      <c r="AA25" s="65">
        <f t="shared" ca="1" si="10"/>
        <v>1</v>
      </c>
      <c r="AB25" s="66"/>
      <c r="AC25" s="64"/>
      <c r="AD25" s="67" t="s">
        <v>167</v>
      </c>
      <c r="AE25" s="64">
        <v>312</v>
      </c>
      <c r="AF25" s="67" t="s">
        <v>171</v>
      </c>
      <c r="AG25" s="67" t="s">
        <v>168</v>
      </c>
      <c r="AH25" s="68" t="s">
        <v>169</v>
      </c>
      <c r="AI25" s="76"/>
      <c r="AJ25" s="76"/>
      <c r="AK25" s="64" t="s">
        <v>173</v>
      </c>
      <c r="AL25" s="70" t="s">
        <v>221</v>
      </c>
      <c r="AM25" s="70" t="s">
        <v>222</v>
      </c>
      <c r="AN25" s="71">
        <v>1</v>
      </c>
      <c r="AO25" s="71">
        <v>1</v>
      </c>
      <c r="AP25" s="71">
        <v>1</v>
      </c>
      <c r="AQ25" s="62">
        <v>1</v>
      </c>
      <c r="AR25" s="68"/>
      <c r="AS25" s="68"/>
      <c r="AT25" s="68"/>
      <c r="AU25" s="68"/>
      <c r="AV25" s="72">
        <v>11551</v>
      </c>
      <c r="AW25" s="73">
        <v>0.908829</v>
      </c>
      <c r="AX25" s="73">
        <v>58.376600000000003</v>
      </c>
      <c r="AY25" s="73">
        <v>0</v>
      </c>
      <c r="AZ25" s="73">
        <v>0</v>
      </c>
      <c r="BA25" s="74"/>
      <c r="BB25" s="75">
        <v>6</v>
      </c>
      <c r="BC25" s="59">
        <v>0.02</v>
      </c>
      <c r="BD25" s="59">
        <v>0.02</v>
      </c>
      <c r="BE25" s="59">
        <v>0.01</v>
      </c>
      <c r="BF25" s="59">
        <v>0.01</v>
      </c>
      <c r="BG25" s="59"/>
      <c r="BH25" s="59"/>
      <c r="BI25" s="59"/>
      <c r="BJ25" s="59"/>
      <c r="BK25" s="59"/>
      <c r="BL25" s="59"/>
      <c r="BM25" s="59"/>
      <c r="BN25" s="59">
        <v>5.0000000000000001E-3</v>
      </c>
      <c r="BO25" s="59"/>
      <c r="BP25" s="59">
        <v>5.0000000000000001E-3</v>
      </c>
      <c r="BQ25" s="59">
        <v>0.01</v>
      </c>
      <c r="BR25" s="59">
        <v>5.0000000000000001E-3</v>
      </c>
      <c r="BS25" s="59"/>
      <c r="BT25" s="59">
        <v>0.02</v>
      </c>
      <c r="BU25" s="59">
        <v>0.04</v>
      </c>
      <c r="BV25" s="111">
        <f t="shared" si="13"/>
        <v>44</v>
      </c>
    </row>
    <row r="26" spans="1:74" ht="42.4" customHeight="1" x14ac:dyDescent="0.45">
      <c r="A26" s="84" t="e">
        <f t="shared" si="2"/>
        <v>#REF!</v>
      </c>
      <c r="B26" s="84">
        <v>378</v>
      </c>
      <c r="C26" s="61">
        <v>111</v>
      </c>
      <c r="D26" s="61" t="s">
        <v>10</v>
      </c>
      <c r="E26" s="61" t="s">
        <v>239</v>
      </c>
      <c r="F26" s="61">
        <v>312</v>
      </c>
      <c r="G26" s="85"/>
      <c r="H26" s="85" t="s">
        <v>176</v>
      </c>
      <c r="I26" s="81" t="s">
        <v>129</v>
      </c>
      <c r="J26" s="59" t="s">
        <v>132</v>
      </c>
      <c r="K26" s="59" t="s">
        <v>297</v>
      </c>
      <c r="L26" s="60" t="s">
        <v>134</v>
      </c>
      <c r="M26" s="59" t="s">
        <v>198</v>
      </c>
      <c r="N26" s="61" t="s">
        <v>133</v>
      </c>
      <c r="O26" s="61">
        <v>111611333</v>
      </c>
      <c r="P26" s="90">
        <v>2</v>
      </c>
      <c r="Q26" s="90">
        <v>2</v>
      </c>
      <c r="R26" s="91">
        <v>1991</v>
      </c>
      <c r="S26" s="59" t="s">
        <v>266</v>
      </c>
      <c r="T26" s="59" t="s">
        <v>235</v>
      </c>
      <c r="U26" s="59">
        <v>3</v>
      </c>
      <c r="V26" s="94">
        <v>45797</v>
      </c>
      <c r="W26" s="93">
        <f t="shared" ca="1" si="12"/>
        <v>46892</v>
      </c>
      <c r="X26" s="93"/>
      <c r="Y26" s="59" t="s">
        <v>220</v>
      </c>
      <c r="Z26" s="64"/>
      <c r="AA26" s="65">
        <f t="shared" ca="1" si="10"/>
        <v>1</v>
      </c>
      <c r="AB26" s="66"/>
      <c r="AC26" s="64"/>
      <c r="AD26" s="67" t="s">
        <v>167</v>
      </c>
      <c r="AE26" s="64">
        <v>312</v>
      </c>
      <c r="AF26" s="67" t="s">
        <v>171</v>
      </c>
      <c r="AG26" s="67" t="s">
        <v>168</v>
      </c>
      <c r="AH26" s="68" t="s">
        <v>169</v>
      </c>
      <c r="AI26" s="76"/>
      <c r="AJ26" s="77"/>
      <c r="AK26" s="64" t="s">
        <v>173</v>
      </c>
      <c r="AL26" s="70" t="s">
        <v>221</v>
      </c>
      <c r="AM26" s="70" t="s">
        <v>222</v>
      </c>
      <c r="AN26" s="71">
        <v>1</v>
      </c>
      <c r="AO26" s="71">
        <v>1</v>
      </c>
      <c r="AP26" s="71">
        <v>1</v>
      </c>
      <c r="AQ26" s="62">
        <v>1</v>
      </c>
      <c r="AR26" s="68"/>
      <c r="AS26" s="68"/>
      <c r="AT26" s="68"/>
      <c r="AU26" s="68"/>
      <c r="AV26" s="72">
        <v>10152</v>
      </c>
      <c r="AW26" s="73">
        <v>0.95648809999999995</v>
      </c>
      <c r="AX26" s="73">
        <v>4.5530482000000001</v>
      </c>
      <c r="AY26" s="73">
        <v>0</v>
      </c>
      <c r="AZ26" s="73">
        <v>2.1333224</v>
      </c>
      <c r="BA26" s="74"/>
      <c r="BB26" s="78">
        <v>6</v>
      </c>
      <c r="BC26" s="59">
        <v>0.02</v>
      </c>
      <c r="BD26" s="59">
        <v>0.02</v>
      </c>
      <c r="BE26" s="59">
        <v>0.01</v>
      </c>
      <c r="BF26" s="59">
        <v>0.01</v>
      </c>
      <c r="BG26" s="59"/>
      <c r="BH26" s="59"/>
      <c r="BI26" s="59"/>
      <c r="BJ26" s="59"/>
      <c r="BK26" s="59"/>
      <c r="BL26" s="59"/>
      <c r="BM26" s="59"/>
      <c r="BN26" s="59">
        <v>5.0000000000000001E-3</v>
      </c>
      <c r="BO26" s="59"/>
      <c r="BP26" s="59">
        <v>5.0000000000000001E-3</v>
      </c>
      <c r="BQ26" s="59">
        <v>0.01</v>
      </c>
      <c r="BR26" s="59">
        <v>5.0000000000000001E-3</v>
      </c>
      <c r="BS26" s="59"/>
      <c r="BT26" s="59">
        <v>0.02</v>
      </c>
      <c r="BU26" s="59">
        <v>0.04</v>
      </c>
      <c r="BV26" s="111">
        <f t="shared" si="13"/>
        <v>33</v>
      </c>
    </row>
    <row r="27" spans="1:74" ht="43.15" customHeight="1" x14ac:dyDescent="0.35">
      <c r="A27" s="84" t="e">
        <f t="shared" si="2"/>
        <v>#REF!</v>
      </c>
      <c r="B27" s="84">
        <v>383</v>
      </c>
      <c r="C27" s="61">
        <v>112</v>
      </c>
      <c r="D27" s="61" t="s">
        <v>274</v>
      </c>
      <c r="E27" s="61" t="s">
        <v>239</v>
      </c>
      <c r="F27" s="61">
        <v>303</v>
      </c>
      <c r="G27" s="85"/>
      <c r="H27" s="85" t="s">
        <v>176</v>
      </c>
      <c r="I27" s="81" t="s">
        <v>7</v>
      </c>
      <c r="J27" s="59" t="s">
        <v>135</v>
      </c>
      <c r="K27" s="59" t="s">
        <v>298</v>
      </c>
      <c r="L27" s="60" t="s">
        <v>137</v>
      </c>
      <c r="M27" s="59" t="s">
        <v>211</v>
      </c>
      <c r="N27" s="61" t="s">
        <v>136</v>
      </c>
      <c r="O27" s="61">
        <v>111611349</v>
      </c>
      <c r="P27" s="90">
        <v>2</v>
      </c>
      <c r="Q27" s="90">
        <v>2</v>
      </c>
      <c r="R27" s="91">
        <v>1992</v>
      </c>
      <c r="S27" s="178" t="s">
        <v>242</v>
      </c>
      <c r="T27" s="101" t="s">
        <v>248</v>
      </c>
      <c r="U27" s="59">
        <v>2</v>
      </c>
      <c r="V27" s="94">
        <v>44036</v>
      </c>
      <c r="W27" s="93" t="s">
        <v>10</v>
      </c>
      <c r="X27" s="93"/>
      <c r="Y27" s="59" t="s">
        <v>223</v>
      </c>
      <c r="Z27" s="64" t="s">
        <v>319</v>
      </c>
      <c r="AA27" s="65">
        <f t="shared" si="10"/>
        <v>1</v>
      </c>
      <c r="AB27" s="66" t="s">
        <v>179</v>
      </c>
      <c r="AC27" s="64"/>
      <c r="AD27" s="67" t="s">
        <v>167</v>
      </c>
      <c r="AE27" s="64">
        <v>303</v>
      </c>
      <c r="AF27" s="67" t="s">
        <v>167</v>
      </c>
      <c r="AG27" s="67" t="s">
        <v>168</v>
      </c>
      <c r="AH27" s="68" t="s">
        <v>169</v>
      </c>
      <c r="AI27" s="76"/>
      <c r="AJ27" s="76"/>
      <c r="AK27" s="64" t="s">
        <v>173</v>
      </c>
      <c r="AL27" s="70" t="s">
        <v>221</v>
      </c>
      <c r="AM27" s="70" t="s">
        <v>222</v>
      </c>
      <c r="AN27" s="71">
        <v>1</v>
      </c>
      <c r="AO27" s="71">
        <v>1</v>
      </c>
      <c r="AP27" s="71">
        <v>1</v>
      </c>
      <c r="AQ27" s="62">
        <v>1</v>
      </c>
      <c r="AR27" s="68"/>
      <c r="AS27" s="68"/>
      <c r="AT27" s="68"/>
      <c r="AU27" s="68"/>
      <c r="AV27" s="72">
        <v>46530</v>
      </c>
      <c r="AW27" s="73">
        <v>12.829000000000001</v>
      </c>
      <c r="AX27" s="73">
        <v>39.880000000000003</v>
      </c>
      <c r="AY27" s="73">
        <v>0</v>
      </c>
      <c r="AZ27" s="73">
        <v>0.06</v>
      </c>
      <c r="BA27" s="74"/>
      <c r="BB27" s="75">
        <v>4</v>
      </c>
      <c r="BC27" s="59">
        <v>1E-3</v>
      </c>
      <c r="BD27" s="59">
        <v>1E-3</v>
      </c>
      <c r="BE27" s="59">
        <v>5.0000000000000001E-3</v>
      </c>
      <c r="BF27" s="59"/>
      <c r="BG27" s="59"/>
      <c r="BH27" s="59"/>
      <c r="BI27" s="59"/>
      <c r="BJ27" s="59"/>
      <c r="BK27" s="59"/>
      <c r="BL27" s="59"/>
      <c r="BM27" s="59"/>
      <c r="BN27" s="59">
        <v>5.0000000000000001E-3</v>
      </c>
      <c r="BO27" s="59"/>
      <c r="BP27" s="59"/>
      <c r="BQ27" s="59"/>
      <c r="BR27" s="59">
        <v>1E-3</v>
      </c>
      <c r="BS27" s="59"/>
      <c r="BT27" s="59">
        <v>0.02</v>
      </c>
      <c r="BU27" s="59">
        <v>0.01</v>
      </c>
    </row>
    <row r="28" spans="1:74" ht="49.15" customHeight="1" x14ac:dyDescent="0.35">
      <c r="A28" s="84" t="e">
        <f t="shared" si="2"/>
        <v>#REF!</v>
      </c>
      <c r="B28" s="84">
        <v>389</v>
      </c>
      <c r="C28" s="61">
        <v>112</v>
      </c>
      <c r="D28" s="61" t="s">
        <v>274</v>
      </c>
      <c r="E28" s="61" t="s">
        <v>239</v>
      </c>
      <c r="F28" s="61">
        <v>303</v>
      </c>
      <c r="G28" s="85"/>
      <c r="H28" s="85" t="s">
        <v>176</v>
      </c>
      <c r="I28" s="81" t="s">
        <v>7</v>
      </c>
      <c r="J28" s="59" t="s">
        <v>138</v>
      </c>
      <c r="K28" s="59" t="s">
        <v>299</v>
      </c>
      <c r="L28" s="60" t="s">
        <v>140</v>
      </c>
      <c r="M28" s="59" t="s">
        <v>212</v>
      </c>
      <c r="N28" s="61" t="s">
        <v>139</v>
      </c>
      <c r="O28" s="61">
        <v>111611356</v>
      </c>
      <c r="P28" s="90">
        <v>2</v>
      </c>
      <c r="Q28" s="90">
        <v>2</v>
      </c>
      <c r="R28" s="91">
        <v>1990</v>
      </c>
      <c r="S28" s="178" t="s">
        <v>267</v>
      </c>
      <c r="T28" s="101" t="s">
        <v>268</v>
      </c>
      <c r="U28" s="59">
        <v>2</v>
      </c>
      <c r="V28" s="94">
        <v>45887</v>
      </c>
      <c r="W28" s="93">
        <f ca="1">IF(OR(U28="----",U28="після ремонту",U28="індикаторний",V28="здан"),"----",IF(AB28="брак","ремонт",IF(V28+U28*365&lt;TODAY(),"повірка",V28+U28*365)))</f>
        <v>46617</v>
      </c>
      <c r="X28" s="93"/>
      <c r="Y28" s="59" t="s">
        <v>223</v>
      </c>
      <c r="Z28" s="64"/>
      <c r="AA28" s="65">
        <f t="shared" ca="1" si="10"/>
        <v>1</v>
      </c>
      <c r="AB28" s="66"/>
      <c r="AC28" s="64"/>
      <c r="AD28" s="64" t="s">
        <v>167</v>
      </c>
      <c r="AE28" s="64">
        <v>303</v>
      </c>
      <c r="AF28" s="64" t="s">
        <v>167</v>
      </c>
      <c r="AG28" s="64" t="s">
        <v>168</v>
      </c>
      <c r="AH28" s="68" t="s">
        <v>169</v>
      </c>
      <c r="AI28" s="76"/>
      <c r="AJ28" s="76"/>
      <c r="AK28" s="64" t="s">
        <v>173</v>
      </c>
      <c r="AL28" s="70" t="s">
        <v>221</v>
      </c>
      <c r="AM28" s="70" t="s">
        <v>222</v>
      </c>
      <c r="AN28" s="71">
        <v>1</v>
      </c>
      <c r="AO28" s="71">
        <v>1</v>
      </c>
      <c r="AP28" s="71">
        <v>1</v>
      </c>
      <c r="AQ28" s="62">
        <v>1</v>
      </c>
      <c r="AR28" s="68"/>
      <c r="AS28" s="68"/>
      <c r="AT28" s="68"/>
      <c r="AU28" s="68"/>
      <c r="AV28" s="72">
        <v>28065</v>
      </c>
      <c r="AW28" s="73">
        <v>11.11</v>
      </c>
      <c r="AX28" s="73">
        <v>27.03</v>
      </c>
      <c r="AY28" s="73">
        <v>7.8E-2</v>
      </c>
      <c r="AZ28" s="73">
        <v>0.41599999999999998</v>
      </c>
      <c r="BA28" s="74"/>
      <c r="BB28" s="75">
        <v>4</v>
      </c>
      <c r="BC28" s="59">
        <v>1E-3</v>
      </c>
      <c r="BD28" s="59">
        <v>1E-3</v>
      </c>
      <c r="BE28" s="59">
        <v>5.0000000000000001E-3</v>
      </c>
      <c r="BF28" s="59"/>
      <c r="BG28" s="59"/>
      <c r="BH28" s="59"/>
      <c r="BI28" s="59"/>
      <c r="BJ28" s="59"/>
      <c r="BK28" s="59"/>
      <c r="BL28" s="59"/>
      <c r="BM28" s="59"/>
      <c r="BN28" s="59">
        <v>5.0000000000000001E-3</v>
      </c>
      <c r="BO28" s="59"/>
      <c r="BP28" s="59"/>
      <c r="BQ28" s="59"/>
      <c r="BR28" s="59">
        <v>1E-3</v>
      </c>
      <c r="BS28" s="59"/>
      <c r="BT28" s="59">
        <v>0.02</v>
      </c>
      <c r="BU28" s="59">
        <v>0.01</v>
      </c>
    </row>
    <row r="29" spans="1:74" ht="43.5" customHeight="1" x14ac:dyDescent="0.35">
      <c r="A29" s="84" t="e">
        <f t="shared" si="2"/>
        <v>#REF!</v>
      </c>
      <c r="B29" s="84">
        <v>394</v>
      </c>
      <c r="C29" s="61">
        <v>112</v>
      </c>
      <c r="D29" s="61" t="s">
        <v>274</v>
      </c>
      <c r="E29" s="61" t="s">
        <v>239</v>
      </c>
      <c r="F29" s="61">
        <v>303</v>
      </c>
      <c r="G29" s="85"/>
      <c r="H29" s="87" t="s">
        <v>176</v>
      </c>
      <c r="I29" s="81" t="s">
        <v>7</v>
      </c>
      <c r="J29" s="59" t="s">
        <v>141</v>
      </c>
      <c r="K29" s="59" t="s">
        <v>300</v>
      </c>
      <c r="L29" s="60" t="s">
        <v>143</v>
      </c>
      <c r="M29" s="59" t="s">
        <v>213</v>
      </c>
      <c r="N29" s="61" t="s">
        <v>142</v>
      </c>
      <c r="O29" s="61">
        <v>111611361</v>
      </c>
      <c r="P29" s="90">
        <v>2</v>
      </c>
      <c r="Q29" s="90">
        <v>2</v>
      </c>
      <c r="R29" s="91">
        <v>1991</v>
      </c>
      <c r="S29" s="178" t="s">
        <v>269</v>
      </c>
      <c r="T29" s="101" t="s">
        <v>268</v>
      </c>
      <c r="U29" s="59">
        <v>2</v>
      </c>
      <c r="V29" s="94">
        <v>45881</v>
      </c>
      <c r="W29" s="93">
        <f t="shared" ref="W29:W34" ca="1" si="14">IF(OR(U29="----",U29="після ремонту",U29="індикаторний"),"----",IF(AB29="брак","ремонт",IF(V29="здан","в повірці",IF(V29+U29*365&lt;TODAY(),"повірка",V29+U29*365))))</f>
        <v>46611</v>
      </c>
      <c r="X29" s="93"/>
      <c r="Y29" s="59" t="s">
        <v>223</v>
      </c>
      <c r="Z29" s="64"/>
      <c r="AA29" s="65">
        <f t="shared" ca="1" si="10"/>
        <v>1</v>
      </c>
      <c r="AB29" s="66"/>
      <c r="AC29" s="64"/>
      <c r="AD29" s="67" t="s">
        <v>167</v>
      </c>
      <c r="AE29" s="64">
        <v>303</v>
      </c>
      <c r="AF29" s="67" t="s">
        <v>167</v>
      </c>
      <c r="AG29" s="67" t="s">
        <v>168</v>
      </c>
      <c r="AH29" s="68" t="s">
        <v>169</v>
      </c>
      <c r="AI29" s="76"/>
      <c r="AJ29" s="88"/>
      <c r="AK29" s="64" t="s">
        <v>170</v>
      </c>
      <c r="AL29" s="70" t="s">
        <v>221</v>
      </c>
      <c r="AM29" s="70" t="s">
        <v>222</v>
      </c>
      <c r="AN29" s="71">
        <v>1</v>
      </c>
      <c r="AO29" s="71">
        <v>1</v>
      </c>
      <c r="AP29" s="71">
        <v>1</v>
      </c>
      <c r="AQ29" s="62">
        <v>1</v>
      </c>
      <c r="AR29" s="68"/>
      <c r="AS29" s="68"/>
      <c r="AT29" s="68"/>
      <c r="AU29" s="68"/>
      <c r="AV29" s="72">
        <v>32571</v>
      </c>
      <c r="AW29" s="73">
        <v>14.22</v>
      </c>
      <c r="AX29" s="73">
        <v>28.9</v>
      </c>
      <c r="AY29" s="73">
        <v>0.17399999999999999</v>
      </c>
      <c r="AZ29" s="73">
        <v>0.41599999999999998</v>
      </c>
      <c r="BA29" s="74"/>
      <c r="BB29" s="75">
        <v>4</v>
      </c>
      <c r="BC29" s="59">
        <v>1E-3</v>
      </c>
      <c r="BD29" s="59">
        <v>1E-3</v>
      </c>
      <c r="BE29" s="59">
        <v>5.0000000000000001E-3</v>
      </c>
      <c r="BF29" s="59"/>
      <c r="BG29" s="59"/>
      <c r="BH29" s="59"/>
      <c r="BI29" s="59"/>
      <c r="BJ29" s="59"/>
      <c r="BK29" s="59"/>
      <c r="BL29" s="59"/>
      <c r="BM29" s="59"/>
      <c r="BN29" s="59">
        <v>5.0000000000000001E-3</v>
      </c>
      <c r="BO29" s="59"/>
      <c r="BP29" s="59"/>
      <c r="BQ29" s="59"/>
      <c r="BR29" s="59">
        <v>1E-3</v>
      </c>
      <c r="BS29" s="59"/>
      <c r="BT29" s="59">
        <v>0.02</v>
      </c>
      <c r="BU29" s="59">
        <v>0.01</v>
      </c>
    </row>
    <row r="30" spans="1:74" ht="60" customHeight="1" x14ac:dyDescent="0.35">
      <c r="A30" s="84" t="e">
        <f t="shared" si="2"/>
        <v>#REF!</v>
      </c>
      <c r="B30" s="84">
        <v>396</v>
      </c>
      <c r="C30" s="61">
        <v>112</v>
      </c>
      <c r="D30" s="61" t="s">
        <v>274</v>
      </c>
      <c r="E30" s="61" t="s">
        <v>239</v>
      </c>
      <c r="F30" s="61">
        <v>303</v>
      </c>
      <c r="G30" s="85"/>
      <c r="H30" s="87" t="s">
        <v>176</v>
      </c>
      <c r="I30" s="81" t="s">
        <v>7</v>
      </c>
      <c r="J30" s="59" t="s">
        <v>144</v>
      </c>
      <c r="K30" s="59" t="s">
        <v>301</v>
      </c>
      <c r="L30" s="60" t="s">
        <v>146</v>
      </c>
      <c r="M30" s="59" t="s">
        <v>214</v>
      </c>
      <c r="N30" s="61" t="s">
        <v>145</v>
      </c>
      <c r="O30" s="61">
        <v>111611363</v>
      </c>
      <c r="P30" s="90">
        <v>2</v>
      </c>
      <c r="Q30" s="90">
        <v>2</v>
      </c>
      <c r="R30" s="91">
        <v>2005</v>
      </c>
      <c r="S30" s="178" t="s">
        <v>270</v>
      </c>
      <c r="T30" s="101" t="s">
        <v>268</v>
      </c>
      <c r="U30" s="59">
        <v>2</v>
      </c>
      <c r="V30" s="94">
        <v>45299</v>
      </c>
      <c r="W30" s="93">
        <f t="shared" ca="1" si="14"/>
        <v>46029</v>
      </c>
      <c r="X30" s="93"/>
      <c r="Y30" s="59" t="s">
        <v>223</v>
      </c>
      <c r="Z30" s="64"/>
      <c r="AA30" s="65">
        <f t="shared" ca="1" si="10"/>
        <v>1</v>
      </c>
      <c r="AB30" s="66"/>
      <c r="AC30" s="64"/>
      <c r="AD30" s="67" t="s">
        <v>167</v>
      </c>
      <c r="AE30" s="64">
        <v>303</v>
      </c>
      <c r="AF30" s="67" t="s">
        <v>167</v>
      </c>
      <c r="AG30" s="67" t="s">
        <v>168</v>
      </c>
      <c r="AH30" s="68" t="s">
        <v>169</v>
      </c>
      <c r="AI30" s="76"/>
      <c r="AJ30" s="88"/>
      <c r="AK30" s="64" t="s">
        <v>170</v>
      </c>
      <c r="AL30" s="70" t="s">
        <v>221</v>
      </c>
      <c r="AM30" s="70" t="s">
        <v>222</v>
      </c>
      <c r="AN30" s="71">
        <v>1</v>
      </c>
      <c r="AO30" s="71">
        <v>1</v>
      </c>
      <c r="AP30" s="71">
        <v>1</v>
      </c>
      <c r="AQ30" s="62">
        <v>1</v>
      </c>
      <c r="AR30" s="68"/>
      <c r="AS30" s="68"/>
      <c r="AT30" s="68"/>
      <c r="AU30" s="68"/>
      <c r="AV30" s="72">
        <v>41877</v>
      </c>
      <c r="AW30" s="73">
        <v>14.023</v>
      </c>
      <c r="AX30" s="73">
        <v>28.42</v>
      </c>
      <c r="AY30" s="73">
        <v>7.0000000000000007E-2</v>
      </c>
      <c r="AZ30" s="73">
        <v>0.41599999999999998</v>
      </c>
      <c r="BA30" s="74"/>
      <c r="BB30" s="75">
        <v>4</v>
      </c>
      <c r="BC30" s="59">
        <v>1E-3</v>
      </c>
      <c r="BD30" s="59">
        <v>1E-3</v>
      </c>
      <c r="BE30" s="59">
        <v>5.0000000000000001E-3</v>
      </c>
      <c r="BF30" s="59"/>
      <c r="BG30" s="59"/>
      <c r="BH30" s="59"/>
      <c r="BI30" s="59"/>
      <c r="BJ30" s="59"/>
      <c r="BK30" s="59"/>
      <c r="BL30" s="59"/>
      <c r="BM30" s="59"/>
      <c r="BN30" s="59">
        <v>5.0000000000000001E-3</v>
      </c>
      <c r="BO30" s="59"/>
      <c r="BP30" s="59"/>
      <c r="BQ30" s="59"/>
      <c r="BR30" s="59">
        <v>1E-3</v>
      </c>
      <c r="BS30" s="59"/>
      <c r="BT30" s="59">
        <v>0.02</v>
      </c>
      <c r="BU30" s="59">
        <v>0.01</v>
      </c>
    </row>
    <row r="31" spans="1:74" ht="45.75" customHeight="1" x14ac:dyDescent="0.35">
      <c r="A31" s="84" t="e">
        <f t="shared" si="2"/>
        <v>#REF!</v>
      </c>
      <c r="B31" s="84">
        <v>400</v>
      </c>
      <c r="C31" s="61">
        <v>112</v>
      </c>
      <c r="D31" s="61" t="s">
        <v>274</v>
      </c>
      <c r="E31" s="61" t="s">
        <v>239</v>
      </c>
      <c r="F31" s="61">
        <v>303</v>
      </c>
      <c r="G31" s="85"/>
      <c r="H31" s="85" t="s">
        <v>176</v>
      </c>
      <c r="I31" s="81" t="s">
        <v>7</v>
      </c>
      <c r="J31" s="59" t="s">
        <v>147</v>
      </c>
      <c r="K31" s="59" t="s">
        <v>302</v>
      </c>
      <c r="L31" s="60" t="s">
        <v>149</v>
      </c>
      <c r="M31" s="59" t="s">
        <v>215</v>
      </c>
      <c r="N31" s="61" t="s">
        <v>148</v>
      </c>
      <c r="O31" s="61">
        <v>111611368</v>
      </c>
      <c r="P31" s="90">
        <v>2</v>
      </c>
      <c r="Q31" s="90">
        <v>2</v>
      </c>
      <c r="R31" s="91">
        <v>2005</v>
      </c>
      <c r="S31" s="178" t="s">
        <v>271</v>
      </c>
      <c r="T31" s="101" t="s">
        <v>268</v>
      </c>
      <c r="U31" s="59">
        <v>2</v>
      </c>
      <c r="V31" s="94">
        <v>45300</v>
      </c>
      <c r="W31" s="93">
        <f t="shared" ca="1" si="14"/>
        <v>46030</v>
      </c>
      <c r="X31" s="93"/>
      <c r="Y31" s="59" t="s">
        <v>223</v>
      </c>
      <c r="Z31" s="64"/>
      <c r="AA31" s="65">
        <f t="shared" ca="1" si="10"/>
        <v>1</v>
      </c>
      <c r="AB31" s="66"/>
      <c r="AC31" s="64"/>
      <c r="AD31" s="67" t="s">
        <v>167</v>
      </c>
      <c r="AE31" s="64">
        <v>303</v>
      </c>
      <c r="AF31" s="67" t="s">
        <v>167</v>
      </c>
      <c r="AG31" s="67" t="s">
        <v>168</v>
      </c>
      <c r="AH31" s="68" t="s">
        <v>169</v>
      </c>
      <c r="AI31" s="76"/>
      <c r="AJ31" s="77"/>
      <c r="AK31" s="64" t="s">
        <v>170</v>
      </c>
      <c r="AL31" s="70" t="s">
        <v>221</v>
      </c>
      <c r="AM31" s="70" t="s">
        <v>222</v>
      </c>
      <c r="AN31" s="71">
        <v>1</v>
      </c>
      <c r="AO31" s="71">
        <v>1</v>
      </c>
      <c r="AP31" s="71">
        <v>1</v>
      </c>
      <c r="AQ31" s="62">
        <v>1</v>
      </c>
      <c r="AR31" s="68"/>
      <c r="AS31" s="68"/>
      <c r="AT31" s="68"/>
      <c r="AU31" s="68"/>
      <c r="AV31" s="72">
        <v>46530</v>
      </c>
      <c r="AW31" s="73">
        <v>10.528</v>
      </c>
      <c r="AX31" s="73">
        <v>25.74</v>
      </c>
      <c r="AY31" s="73">
        <v>0.13100000000000001</v>
      </c>
      <c r="AZ31" s="73">
        <v>0.41599999999999998</v>
      </c>
      <c r="BA31" s="74"/>
      <c r="BB31" s="75">
        <v>4</v>
      </c>
      <c r="BC31" s="59">
        <v>1E-3</v>
      </c>
      <c r="BD31" s="59">
        <v>1E-3</v>
      </c>
      <c r="BE31" s="59">
        <v>5.0000000000000001E-3</v>
      </c>
      <c r="BF31" s="59"/>
      <c r="BG31" s="59"/>
      <c r="BH31" s="59"/>
      <c r="BI31" s="59"/>
      <c r="BJ31" s="59"/>
      <c r="BK31" s="59"/>
      <c r="BL31" s="59"/>
      <c r="BM31" s="59"/>
      <c r="BN31" s="59">
        <v>5.0000000000000001E-3</v>
      </c>
      <c r="BO31" s="59"/>
      <c r="BP31" s="59"/>
      <c r="BQ31" s="59"/>
      <c r="BR31" s="59">
        <v>1E-3</v>
      </c>
      <c r="BS31" s="59"/>
      <c r="BT31" s="59">
        <v>0.02</v>
      </c>
      <c r="BU31" s="59">
        <v>0.01</v>
      </c>
    </row>
    <row r="32" spans="1:74" ht="43.15" customHeight="1" x14ac:dyDescent="0.35">
      <c r="A32" s="84" t="e">
        <f t="shared" si="2"/>
        <v>#REF!</v>
      </c>
      <c r="B32" s="84">
        <v>401</v>
      </c>
      <c r="C32" s="61">
        <v>112</v>
      </c>
      <c r="D32" s="61" t="s">
        <v>274</v>
      </c>
      <c r="E32" s="61" t="s">
        <v>239</v>
      </c>
      <c r="F32" s="61">
        <v>303</v>
      </c>
      <c r="G32" s="85"/>
      <c r="H32" s="87" t="s">
        <v>176</v>
      </c>
      <c r="I32" s="81" t="s">
        <v>7</v>
      </c>
      <c r="J32" s="59" t="s">
        <v>150</v>
      </c>
      <c r="K32" s="59" t="s">
        <v>303</v>
      </c>
      <c r="L32" s="60" t="s">
        <v>152</v>
      </c>
      <c r="M32" s="59" t="s">
        <v>216</v>
      </c>
      <c r="N32" s="61" t="s">
        <v>151</v>
      </c>
      <c r="O32" s="61">
        <v>111611370</v>
      </c>
      <c r="P32" s="90">
        <v>2</v>
      </c>
      <c r="Q32" s="90">
        <v>2</v>
      </c>
      <c r="R32" s="91">
        <v>2005</v>
      </c>
      <c r="S32" s="178" t="s">
        <v>272</v>
      </c>
      <c r="T32" s="101" t="s">
        <v>268</v>
      </c>
      <c r="U32" s="59">
        <v>2</v>
      </c>
      <c r="V32" s="94">
        <v>45887</v>
      </c>
      <c r="W32" s="93">
        <f t="shared" ca="1" si="14"/>
        <v>46617</v>
      </c>
      <c r="X32" s="93"/>
      <c r="Y32" s="59" t="s">
        <v>223</v>
      </c>
      <c r="Z32" s="64"/>
      <c r="AA32" s="65">
        <f t="shared" ca="1" si="10"/>
        <v>1</v>
      </c>
      <c r="AB32" s="66"/>
      <c r="AC32" s="64"/>
      <c r="AD32" s="67" t="s">
        <v>167</v>
      </c>
      <c r="AE32" s="64">
        <v>303</v>
      </c>
      <c r="AF32" s="67" t="s">
        <v>167</v>
      </c>
      <c r="AG32" s="67" t="s">
        <v>168</v>
      </c>
      <c r="AH32" s="68" t="s">
        <v>169</v>
      </c>
      <c r="AI32" s="76"/>
      <c r="AJ32" s="76"/>
      <c r="AK32" s="64" t="s">
        <v>170</v>
      </c>
      <c r="AL32" s="70" t="s">
        <v>221</v>
      </c>
      <c r="AM32" s="70" t="s">
        <v>222</v>
      </c>
      <c r="AN32" s="71">
        <v>1</v>
      </c>
      <c r="AO32" s="71">
        <v>1</v>
      </c>
      <c r="AP32" s="71">
        <v>1</v>
      </c>
      <c r="AQ32" s="62">
        <v>1</v>
      </c>
      <c r="AR32" s="68"/>
      <c r="AS32" s="68"/>
      <c r="AT32" s="68"/>
      <c r="AU32" s="68"/>
      <c r="AV32" s="72">
        <v>39930</v>
      </c>
      <c r="AW32" s="73">
        <v>10.817</v>
      </c>
      <c r="AX32" s="73">
        <v>30.01</v>
      </c>
      <c r="AY32" s="73">
        <v>0.107</v>
      </c>
      <c r="AZ32" s="73">
        <v>0.41599999999999998</v>
      </c>
      <c r="BA32" s="74"/>
      <c r="BB32" s="75">
        <v>4</v>
      </c>
      <c r="BC32" s="59">
        <v>1E-3</v>
      </c>
      <c r="BD32" s="59">
        <v>1E-3</v>
      </c>
      <c r="BE32" s="59">
        <v>5.0000000000000001E-3</v>
      </c>
      <c r="BF32" s="59"/>
      <c r="BG32" s="59"/>
      <c r="BH32" s="59"/>
      <c r="BI32" s="59"/>
      <c r="BJ32" s="59"/>
      <c r="BK32" s="59"/>
      <c r="BL32" s="59"/>
      <c r="BM32" s="59"/>
      <c r="BN32" s="59">
        <v>5.0000000000000001E-3</v>
      </c>
      <c r="BO32" s="59"/>
      <c r="BP32" s="59"/>
      <c r="BQ32" s="59"/>
      <c r="BR32" s="59">
        <v>1E-3</v>
      </c>
      <c r="BS32" s="59"/>
      <c r="BT32" s="59">
        <v>0.02</v>
      </c>
      <c r="BU32" s="59">
        <v>0.01</v>
      </c>
    </row>
    <row r="33" spans="1:74" ht="43.9" customHeight="1" x14ac:dyDescent="0.35">
      <c r="A33" s="84" t="e">
        <f t="shared" si="2"/>
        <v>#REF!</v>
      </c>
      <c r="B33" s="84">
        <v>483</v>
      </c>
      <c r="C33" s="61">
        <v>111</v>
      </c>
      <c r="D33" s="61" t="s">
        <v>10</v>
      </c>
      <c r="E33" s="61" t="s">
        <v>239</v>
      </c>
      <c r="F33" s="61">
        <v>312</v>
      </c>
      <c r="G33" s="85"/>
      <c r="H33" s="85" t="s">
        <v>176</v>
      </c>
      <c r="I33" s="81" t="s">
        <v>38</v>
      </c>
      <c r="J33" s="59" t="s">
        <v>8</v>
      </c>
      <c r="K33" s="59" t="s">
        <v>304</v>
      </c>
      <c r="L33" s="60" t="s">
        <v>153</v>
      </c>
      <c r="M33" s="59" t="s">
        <v>199</v>
      </c>
      <c r="N33" s="61" t="s">
        <v>39</v>
      </c>
      <c r="O33" s="61">
        <v>111611780</v>
      </c>
      <c r="P33" s="90">
        <v>2</v>
      </c>
      <c r="Q33" s="90">
        <v>2</v>
      </c>
      <c r="R33" s="91">
        <v>1978</v>
      </c>
      <c r="S33" s="59" t="s">
        <v>234</v>
      </c>
      <c r="T33" s="59" t="s">
        <v>233</v>
      </c>
      <c r="U33" s="59" t="s">
        <v>11</v>
      </c>
      <c r="V33" s="94" t="s">
        <v>10</v>
      </c>
      <c r="W33" s="93" t="str">
        <f t="shared" ca="1" si="14"/>
        <v>----</v>
      </c>
      <c r="X33" s="93"/>
      <c r="Y33" s="59" t="s">
        <v>10</v>
      </c>
      <c r="Z33" s="64"/>
      <c r="AA33" s="65">
        <f t="shared" ca="1" si="10"/>
        <v>0</v>
      </c>
      <c r="AB33" s="66"/>
      <c r="AC33" s="64"/>
      <c r="AD33" s="79" t="s">
        <v>174</v>
      </c>
      <c r="AE33" s="80"/>
      <c r="AF33" s="79" t="s">
        <v>174</v>
      </c>
      <c r="AG33" s="79" t="s">
        <v>168</v>
      </c>
      <c r="AH33" s="68" t="s">
        <v>175</v>
      </c>
      <c r="AI33" s="76"/>
      <c r="AJ33" s="76"/>
      <c r="AK33" s="64" t="s">
        <v>173</v>
      </c>
      <c r="AL33" s="70" t="s">
        <v>221</v>
      </c>
      <c r="AM33" s="70" t="s">
        <v>273</v>
      </c>
      <c r="AN33" s="71">
        <v>1</v>
      </c>
      <c r="AO33" s="71">
        <v>1</v>
      </c>
      <c r="AP33" s="71" t="s">
        <v>10</v>
      </c>
      <c r="AQ33" s="62"/>
      <c r="AR33" s="68"/>
      <c r="AS33" s="68"/>
      <c r="AT33" s="68"/>
      <c r="AU33" s="68"/>
      <c r="AV33" s="72">
        <v>1168</v>
      </c>
      <c r="AW33" s="73">
        <v>0</v>
      </c>
      <c r="AX33" s="73">
        <v>0.26956000000000002</v>
      </c>
      <c r="AY33" s="73">
        <v>0</v>
      </c>
      <c r="AZ33" s="73">
        <v>1.2319999999999999E-2</v>
      </c>
      <c r="BA33" s="74"/>
      <c r="BB33" s="75">
        <v>2</v>
      </c>
      <c r="BC33" s="59">
        <v>1E-3</v>
      </c>
      <c r="BD33" s="59">
        <v>1E-3</v>
      </c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>
        <v>1E-3</v>
      </c>
      <c r="BS33" s="59"/>
      <c r="BT33" s="59">
        <v>5.0000000000000001E-3</v>
      </c>
      <c r="BU33" s="59">
        <v>5.0000000000000001E-3</v>
      </c>
      <c r="BV33" s="111">
        <f>2024-R33</f>
        <v>46</v>
      </c>
    </row>
    <row r="34" spans="1:74" ht="60" customHeight="1" x14ac:dyDescent="0.35">
      <c r="A34" s="84" t="e">
        <f t="shared" si="2"/>
        <v>#REF!</v>
      </c>
      <c r="B34" s="84">
        <v>697</v>
      </c>
      <c r="C34" s="61">
        <v>112</v>
      </c>
      <c r="D34" s="61" t="s">
        <v>274</v>
      </c>
      <c r="E34" s="61" t="s">
        <v>238</v>
      </c>
      <c r="F34" s="61">
        <v>303</v>
      </c>
      <c r="G34" s="85"/>
      <c r="H34" s="85" t="s">
        <v>176</v>
      </c>
      <c r="I34" s="81" t="s">
        <v>155</v>
      </c>
      <c r="J34" s="59" t="s">
        <v>156</v>
      </c>
      <c r="K34" s="59" t="s">
        <v>305</v>
      </c>
      <c r="L34" s="60" t="s">
        <v>154</v>
      </c>
      <c r="M34" s="59" t="s">
        <v>217</v>
      </c>
      <c r="N34" s="61" t="s">
        <v>10</v>
      </c>
      <c r="O34" s="61">
        <v>111612627</v>
      </c>
      <c r="P34" s="90">
        <v>2</v>
      </c>
      <c r="Q34" s="90">
        <v>2</v>
      </c>
      <c r="R34" s="91">
        <v>1964</v>
      </c>
      <c r="S34" s="59" t="s">
        <v>330</v>
      </c>
      <c r="T34" s="100" t="s">
        <v>243</v>
      </c>
      <c r="U34" s="59">
        <v>1</v>
      </c>
      <c r="V34" s="94">
        <v>41004</v>
      </c>
      <c r="W34" s="93" t="str">
        <f t="shared" ca="1" si="14"/>
        <v>повірка</v>
      </c>
      <c r="X34" s="93"/>
      <c r="Y34" s="59" t="s">
        <v>220</v>
      </c>
      <c r="Z34" s="64"/>
      <c r="AA34" s="65">
        <f t="shared" ca="1" si="10"/>
        <v>2</v>
      </c>
      <c r="AB34" s="66"/>
      <c r="AC34" s="64"/>
      <c r="AD34" s="67" t="s">
        <v>241</v>
      </c>
      <c r="AE34" s="64">
        <v>303</v>
      </c>
      <c r="AF34" s="67" t="s">
        <v>167</v>
      </c>
      <c r="AG34" s="67" t="s">
        <v>168</v>
      </c>
      <c r="AH34" s="68" t="s">
        <v>175</v>
      </c>
      <c r="AI34" s="69"/>
      <c r="AJ34" s="63"/>
      <c r="AK34" s="64" t="s">
        <v>173</v>
      </c>
      <c r="AL34" s="70" t="s">
        <v>221</v>
      </c>
      <c r="AM34" s="70" t="s">
        <v>222</v>
      </c>
      <c r="AN34" s="71">
        <v>1</v>
      </c>
      <c r="AO34" s="71">
        <v>1</v>
      </c>
      <c r="AP34" s="71">
        <v>1</v>
      </c>
      <c r="AQ34" s="62">
        <v>1</v>
      </c>
      <c r="AR34" s="68"/>
      <c r="AS34" s="68"/>
      <c r="AT34" s="68"/>
      <c r="AU34" s="68"/>
      <c r="AV34" s="72">
        <v>17635</v>
      </c>
      <c r="AW34" s="73">
        <v>0</v>
      </c>
      <c r="AX34" s="73">
        <v>0</v>
      </c>
      <c r="AY34" s="73">
        <v>0</v>
      </c>
      <c r="AZ34" s="73">
        <v>0</v>
      </c>
      <c r="BA34" s="74"/>
      <c r="BB34" s="75">
        <v>4</v>
      </c>
      <c r="BC34" s="59">
        <v>1E-3</v>
      </c>
      <c r="BD34" s="59">
        <v>1E-3</v>
      </c>
      <c r="BE34" s="59">
        <v>5.0000000000000001E-3</v>
      </c>
      <c r="BF34" s="59"/>
      <c r="BG34" s="59"/>
      <c r="BH34" s="59"/>
      <c r="BI34" s="59"/>
      <c r="BJ34" s="59"/>
      <c r="BK34" s="59"/>
      <c r="BL34" s="59"/>
      <c r="BM34" s="59"/>
      <c r="BN34" s="59">
        <v>5.0000000000000001E-3</v>
      </c>
      <c r="BO34" s="59"/>
      <c r="BP34" s="59"/>
      <c r="BQ34" s="59"/>
      <c r="BR34" s="59">
        <v>1E-3</v>
      </c>
      <c r="BS34" s="59"/>
      <c r="BT34" s="59">
        <v>0.02</v>
      </c>
      <c r="BU34" s="59">
        <v>0.01</v>
      </c>
    </row>
    <row r="35" spans="1:74" ht="60" customHeight="1" x14ac:dyDescent="0.35">
      <c r="A35" s="84" t="e">
        <f t="shared" si="2"/>
        <v>#REF!</v>
      </c>
      <c r="B35" s="84">
        <v>760</v>
      </c>
      <c r="C35" s="61">
        <v>111</v>
      </c>
      <c r="D35" s="61" t="s">
        <v>10</v>
      </c>
      <c r="E35" s="61" t="s">
        <v>239</v>
      </c>
      <c r="F35" s="61">
        <v>312</v>
      </c>
      <c r="G35" s="85"/>
      <c r="H35" s="85" t="s">
        <v>176</v>
      </c>
      <c r="I35" s="81" t="s">
        <v>157</v>
      </c>
      <c r="J35" s="60" t="s">
        <v>158</v>
      </c>
      <c r="K35" s="59" t="s">
        <v>306</v>
      </c>
      <c r="L35" s="105" t="s">
        <v>159</v>
      </c>
      <c r="M35" s="59" t="s">
        <v>218</v>
      </c>
      <c r="N35" s="106" t="s">
        <v>10</v>
      </c>
      <c r="O35" s="106">
        <v>111613297</v>
      </c>
      <c r="P35" s="90">
        <v>2</v>
      </c>
      <c r="Q35" s="90">
        <v>2</v>
      </c>
      <c r="R35" s="91">
        <v>2015</v>
      </c>
      <c r="S35" s="59" t="s">
        <v>249</v>
      </c>
      <c r="T35" s="60" t="s">
        <v>250</v>
      </c>
      <c r="U35" s="59" t="s">
        <v>11</v>
      </c>
      <c r="V35" s="94" t="s">
        <v>10</v>
      </c>
      <c r="W35" s="93" t="str">
        <f t="shared" ref="W35:W36" ca="1" si="15">IF(OR(U35="----",U35="після ремонту",U35="індикаторний",V35="здан"),"----",IF(AB35="брак","ремонт",IF(V35+U35*365&lt;TODAY(),"повірка",V35+U35*365)))</f>
        <v>----</v>
      </c>
      <c r="X35" s="93"/>
      <c r="Y35" s="59" t="s">
        <v>10</v>
      </c>
      <c r="Z35" s="64"/>
      <c r="AA35" s="65">
        <f t="shared" ca="1" si="10"/>
        <v>0</v>
      </c>
      <c r="AB35" s="66"/>
      <c r="AC35" s="64"/>
      <c r="AD35" s="64" t="s">
        <v>167</v>
      </c>
      <c r="AE35" s="64"/>
      <c r="AF35" s="64" t="s">
        <v>167</v>
      </c>
      <c r="AG35" s="64" t="s">
        <v>168</v>
      </c>
      <c r="AH35" s="68" t="s">
        <v>175</v>
      </c>
      <c r="AI35" s="77"/>
      <c r="AJ35" s="77"/>
      <c r="AK35" s="64" t="s">
        <v>170</v>
      </c>
      <c r="AL35" s="70" t="s">
        <v>229</v>
      </c>
      <c r="AM35" s="70" t="s">
        <v>224</v>
      </c>
      <c r="AN35" s="71">
        <v>1</v>
      </c>
      <c r="AO35" s="71">
        <v>1</v>
      </c>
      <c r="AP35" s="71" t="s">
        <v>10</v>
      </c>
      <c r="AQ35" s="71"/>
      <c r="AR35" s="68"/>
      <c r="AS35" s="68"/>
      <c r="AT35" s="68"/>
      <c r="AU35" s="68"/>
      <c r="AV35" s="72">
        <v>2442</v>
      </c>
      <c r="AW35" s="73">
        <v>0</v>
      </c>
      <c r="AX35" s="73">
        <v>0</v>
      </c>
      <c r="AY35" s="73">
        <v>0</v>
      </c>
      <c r="AZ35" s="73">
        <v>0</v>
      </c>
      <c r="BA35" s="74"/>
      <c r="BB35" s="75" t="s">
        <v>10</v>
      </c>
      <c r="BC35" s="75" t="s">
        <v>10</v>
      </c>
      <c r="BD35" s="75" t="s">
        <v>10</v>
      </c>
      <c r="BE35" s="75" t="s">
        <v>10</v>
      </c>
      <c r="BF35" s="75" t="s">
        <v>10</v>
      </c>
      <c r="BG35" s="75" t="s">
        <v>10</v>
      </c>
      <c r="BH35" s="75" t="s">
        <v>10</v>
      </c>
      <c r="BI35" s="75" t="s">
        <v>10</v>
      </c>
      <c r="BJ35" s="75" t="s">
        <v>10</v>
      </c>
      <c r="BK35" s="75" t="s">
        <v>10</v>
      </c>
      <c r="BL35" s="75" t="s">
        <v>10</v>
      </c>
      <c r="BM35" s="75" t="s">
        <v>10</v>
      </c>
      <c r="BN35" s="75" t="s">
        <v>10</v>
      </c>
      <c r="BO35" s="75" t="s">
        <v>10</v>
      </c>
      <c r="BP35" s="75" t="s">
        <v>10</v>
      </c>
      <c r="BQ35" s="75" t="s">
        <v>10</v>
      </c>
      <c r="BR35" s="75" t="s">
        <v>10</v>
      </c>
      <c r="BS35" s="75" t="s">
        <v>10</v>
      </c>
      <c r="BT35" s="75" t="s">
        <v>10</v>
      </c>
      <c r="BU35" s="75" t="s">
        <v>10</v>
      </c>
      <c r="BV35" s="111">
        <f>2024-R35</f>
        <v>9</v>
      </c>
    </row>
    <row r="36" spans="1:74" ht="60" customHeight="1" x14ac:dyDescent="0.35">
      <c r="A36" s="84" t="e">
        <f t="shared" si="2"/>
        <v>#REF!</v>
      </c>
      <c r="B36" s="84">
        <v>763</v>
      </c>
      <c r="C36" s="61">
        <v>112</v>
      </c>
      <c r="D36" s="61" t="s">
        <v>274</v>
      </c>
      <c r="E36" s="61" t="s">
        <v>239</v>
      </c>
      <c r="F36" s="61">
        <v>303</v>
      </c>
      <c r="G36" s="85"/>
      <c r="H36" s="85" t="s">
        <v>176</v>
      </c>
      <c r="I36" s="81" t="s">
        <v>157</v>
      </c>
      <c r="J36" s="59" t="s">
        <v>158</v>
      </c>
      <c r="K36" s="59" t="s">
        <v>306</v>
      </c>
      <c r="L36" s="60" t="s">
        <v>160</v>
      </c>
      <c r="M36" s="59" t="s">
        <v>219</v>
      </c>
      <c r="N36" s="106" t="s">
        <v>10</v>
      </c>
      <c r="O36" s="106">
        <v>111613300</v>
      </c>
      <c r="P36" s="90">
        <v>2</v>
      </c>
      <c r="Q36" s="90"/>
      <c r="R36" s="91">
        <v>2015</v>
      </c>
      <c r="S36" s="59" t="s">
        <v>249</v>
      </c>
      <c r="T36" s="60" t="s">
        <v>250</v>
      </c>
      <c r="U36" s="59" t="s">
        <v>11</v>
      </c>
      <c r="V36" s="94" t="s">
        <v>10</v>
      </c>
      <c r="W36" s="93" t="str">
        <f t="shared" ca="1" si="15"/>
        <v>----</v>
      </c>
      <c r="X36" s="93"/>
      <c r="Y36" s="59" t="s">
        <v>10</v>
      </c>
      <c r="Z36" s="64"/>
      <c r="AA36" s="65">
        <f t="shared" ca="1" si="10"/>
        <v>0</v>
      </c>
      <c r="AB36" s="66"/>
      <c r="AC36" s="64"/>
      <c r="AD36" s="64" t="s">
        <v>241</v>
      </c>
      <c r="AE36" s="64">
        <v>303</v>
      </c>
      <c r="AF36" s="64" t="s">
        <v>167</v>
      </c>
      <c r="AG36" s="64" t="s">
        <v>168</v>
      </c>
      <c r="AH36" s="68" t="s">
        <v>175</v>
      </c>
      <c r="AI36" s="77"/>
      <c r="AJ36" s="77"/>
      <c r="AK36" s="64" t="s">
        <v>170</v>
      </c>
      <c r="AL36" s="70" t="s">
        <v>229</v>
      </c>
      <c r="AM36" s="70" t="s">
        <v>224</v>
      </c>
      <c r="AN36" s="71">
        <v>1</v>
      </c>
      <c r="AO36" s="71">
        <v>1</v>
      </c>
      <c r="AP36" s="71" t="s">
        <v>10</v>
      </c>
      <c r="AQ36" s="71"/>
      <c r="AR36" s="68"/>
      <c r="AS36" s="68"/>
      <c r="AT36" s="68"/>
      <c r="AU36" s="68"/>
      <c r="AV36" s="72">
        <v>2605</v>
      </c>
      <c r="AW36" s="73">
        <v>0</v>
      </c>
      <c r="AX36" s="73">
        <v>0</v>
      </c>
      <c r="AY36" s="73">
        <v>0</v>
      </c>
      <c r="AZ36" s="73">
        <v>0</v>
      </c>
      <c r="BA36" s="74"/>
      <c r="BB36" s="75" t="s">
        <v>10</v>
      </c>
      <c r="BC36" s="75" t="s">
        <v>10</v>
      </c>
      <c r="BD36" s="75" t="s">
        <v>10</v>
      </c>
      <c r="BE36" s="75" t="s">
        <v>10</v>
      </c>
      <c r="BF36" s="75" t="s">
        <v>10</v>
      </c>
      <c r="BG36" s="75" t="s">
        <v>10</v>
      </c>
      <c r="BH36" s="75" t="s">
        <v>10</v>
      </c>
      <c r="BI36" s="75" t="s">
        <v>10</v>
      </c>
      <c r="BJ36" s="75" t="s">
        <v>10</v>
      </c>
      <c r="BK36" s="75" t="s">
        <v>10</v>
      </c>
      <c r="BL36" s="75" t="s">
        <v>10</v>
      </c>
      <c r="BM36" s="75" t="s">
        <v>10</v>
      </c>
      <c r="BN36" s="75" t="s">
        <v>10</v>
      </c>
      <c r="BO36" s="75" t="s">
        <v>10</v>
      </c>
      <c r="BP36" s="75" t="s">
        <v>10</v>
      </c>
      <c r="BQ36" s="75" t="s">
        <v>10</v>
      </c>
      <c r="BR36" s="75" t="s">
        <v>10</v>
      </c>
      <c r="BS36" s="75" t="s">
        <v>10</v>
      </c>
      <c r="BT36" s="75" t="s">
        <v>10</v>
      </c>
      <c r="BU36" s="75" t="s">
        <v>10</v>
      </c>
    </row>
    <row r="37" spans="1:74" ht="33.4" customHeight="1" x14ac:dyDescent="0.45">
      <c r="A37" s="84" t="e">
        <f t="shared" si="2"/>
        <v>#REF!</v>
      </c>
      <c r="B37" s="84">
        <v>799</v>
      </c>
      <c r="C37" s="61">
        <v>111</v>
      </c>
      <c r="D37" s="61" t="s">
        <v>10</v>
      </c>
      <c r="E37" s="61" t="s">
        <v>239</v>
      </c>
      <c r="F37" s="61">
        <v>312</v>
      </c>
      <c r="G37" s="85"/>
      <c r="H37" s="85" t="s">
        <v>176</v>
      </c>
      <c r="I37" s="81" t="s">
        <v>161</v>
      </c>
      <c r="J37" s="59" t="s">
        <v>162</v>
      </c>
      <c r="K37" s="59" t="s">
        <v>307</v>
      </c>
      <c r="L37" s="60" t="s">
        <v>163</v>
      </c>
      <c r="M37" s="59" t="s">
        <v>200</v>
      </c>
      <c r="N37" s="61" t="s">
        <v>10</v>
      </c>
      <c r="O37" s="61">
        <v>111613387</v>
      </c>
      <c r="P37" s="90">
        <v>2</v>
      </c>
      <c r="Q37" s="90">
        <v>2</v>
      </c>
      <c r="R37" s="91">
        <v>2017</v>
      </c>
      <c r="S37" s="59" t="s">
        <v>253</v>
      </c>
      <c r="T37" s="59" t="s">
        <v>28</v>
      </c>
      <c r="U37" s="59">
        <v>3</v>
      </c>
      <c r="V37" s="94">
        <v>45784</v>
      </c>
      <c r="W37" s="94">
        <f ca="1">IF(OR(U37="----",U37="після ремонту",U37="індикаторний",V37="здан"),"----",IF(AB37="брак","ремонт",IF(V37+U37*365&lt;TODAY(),"повірка",V37+U37*365)))</f>
        <v>46879</v>
      </c>
      <c r="X37" s="93"/>
      <c r="Y37" s="59" t="s">
        <v>223</v>
      </c>
      <c r="Z37" s="21"/>
      <c r="AA37" s="37">
        <f t="shared" ca="1" si="10"/>
        <v>1</v>
      </c>
      <c r="AB37" s="19"/>
      <c r="AC37" s="21"/>
      <c r="AD37" s="38" t="s">
        <v>166</v>
      </c>
      <c r="AE37" s="21"/>
      <c r="AF37" s="38" t="s">
        <v>167</v>
      </c>
      <c r="AG37" s="38" t="s">
        <v>168</v>
      </c>
      <c r="AH37" s="26" t="s">
        <v>169</v>
      </c>
      <c r="AI37" s="22"/>
      <c r="AJ37" s="24"/>
      <c r="AK37" s="21" t="s">
        <v>166</v>
      </c>
      <c r="AL37" s="23" t="s">
        <v>221</v>
      </c>
      <c r="AM37" s="23" t="s">
        <v>222</v>
      </c>
      <c r="AN37" s="27">
        <v>1</v>
      </c>
      <c r="AO37" s="27">
        <v>1</v>
      </c>
      <c r="AP37" s="27">
        <v>1</v>
      </c>
      <c r="AQ37" s="36">
        <v>1</v>
      </c>
      <c r="AR37" s="26"/>
      <c r="AS37" s="26"/>
      <c r="AT37" s="26"/>
      <c r="AU37" s="26"/>
      <c r="AV37" s="28">
        <v>491655.35</v>
      </c>
      <c r="AW37" s="39">
        <v>0</v>
      </c>
      <c r="AX37" s="39">
        <v>0</v>
      </c>
      <c r="AY37" s="39">
        <v>0</v>
      </c>
      <c r="AZ37" s="39">
        <v>0</v>
      </c>
      <c r="BA37" s="40"/>
      <c r="BB37" s="25">
        <v>1</v>
      </c>
      <c r="BC37" s="20">
        <v>1E-3</v>
      </c>
      <c r="BD37" s="20">
        <v>1E-3</v>
      </c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>
        <v>1E-3</v>
      </c>
      <c r="BS37" s="20"/>
      <c r="BT37" s="20">
        <v>1.4999999999999999E-2</v>
      </c>
      <c r="BU37" s="20">
        <v>0.01</v>
      </c>
      <c r="BV37" s="111">
        <f>2024-R37</f>
        <v>7</v>
      </c>
    </row>
    <row r="38" spans="1:74" ht="49.15" customHeight="1" x14ac:dyDescent="0.35">
      <c r="A38" s="84" t="e">
        <f t="shared" si="2"/>
        <v>#REF!</v>
      </c>
      <c r="B38" s="84"/>
      <c r="C38" s="107">
        <v>111</v>
      </c>
      <c r="D38" s="82"/>
      <c r="E38" s="107" t="s">
        <v>238</v>
      </c>
      <c r="F38" s="61">
        <v>312</v>
      </c>
      <c r="G38" s="86"/>
      <c r="H38" s="85" t="s">
        <v>176</v>
      </c>
      <c r="I38" s="81" t="s">
        <v>312</v>
      </c>
      <c r="J38" s="59" t="s">
        <v>313</v>
      </c>
      <c r="K38" s="59" t="s">
        <v>315</v>
      </c>
      <c r="L38" s="60" t="s">
        <v>314</v>
      </c>
      <c r="M38" s="59" t="s">
        <v>316</v>
      </c>
      <c r="N38" s="82"/>
      <c r="O38" s="82"/>
      <c r="P38" s="96">
        <v>2</v>
      </c>
      <c r="Q38" s="96">
        <v>2</v>
      </c>
      <c r="R38" s="97">
        <v>2022</v>
      </c>
      <c r="S38" s="82" t="s">
        <v>321</v>
      </c>
      <c r="T38" s="82" t="s">
        <v>323</v>
      </c>
      <c r="U38" s="82">
        <v>3</v>
      </c>
      <c r="V38" s="98">
        <v>45779</v>
      </c>
      <c r="W38" s="94">
        <f ca="1">IF(OR(U38="----",U38="після ремонту",U38="індикаторний",V38="здан"),"----",IF(AB38="брак","ремонт",IF(V38+U38*365&lt;TODAY(),"повірка",V38+U38*365)))</f>
        <v>46874</v>
      </c>
      <c r="X38" s="93"/>
      <c r="Y38" s="59" t="s">
        <v>223</v>
      </c>
      <c r="Z38" s="64"/>
      <c r="AA38" s="65"/>
      <c r="AB38" s="66"/>
      <c r="AC38" s="64"/>
      <c r="AD38" s="67"/>
      <c r="AE38" s="67"/>
      <c r="AF38" s="67"/>
      <c r="AG38" s="67"/>
      <c r="AH38" s="70"/>
      <c r="AI38" s="76"/>
      <c r="AJ38" s="83"/>
      <c r="AK38" s="64"/>
      <c r="AL38" s="70"/>
      <c r="AM38" s="70"/>
      <c r="AN38" s="71"/>
      <c r="AO38" s="71"/>
      <c r="AP38" s="71"/>
      <c r="AQ38" s="62"/>
      <c r="AR38" s="68"/>
      <c r="AS38" s="68"/>
      <c r="AT38" s="68"/>
      <c r="AU38" s="68"/>
      <c r="AV38" s="72"/>
      <c r="AW38" s="73"/>
      <c r="AX38" s="73"/>
      <c r="AY38" s="73"/>
      <c r="AZ38" s="73"/>
      <c r="BA38" s="74"/>
      <c r="BB38" s="75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111">
        <f>2024-R38</f>
        <v>2</v>
      </c>
    </row>
    <row r="39" spans="1:74" ht="60" customHeight="1" x14ac:dyDescent="0.35">
      <c r="A39" s="41"/>
      <c r="B39" s="41"/>
      <c r="C39" s="41"/>
      <c r="D39" s="41"/>
      <c r="E39" s="41"/>
      <c r="F39" s="42"/>
      <c r="G39" s="42"/>
      <c r="H39" s="42"/>
      <c r="I39" s="43"/>
      <c r="J39" s="13"/>
      <c r="K39" s="13"/>
      <c r="L39" s="44"/>
      <c r="M39" s="13"/>
      <c r="N39" s="13"/>
      <c r="O39" s="13"/>
      <c r="P39" s="45"/>
      <c r="Q39" s="45"/>
      <c r="R39" s="46"/>
      <c r="S39" s="47"/>
      <c r="T39" s="47"/>
      <c r="U39" s="13"/>
      <c r="V39" s="48"/>
      <c r="W39" s="49"/>
      <c r="X39" s="49"/>
      <c r="Y39" s="48"/>
      <c r="Z39" s="48"/>
      <c r="AA39" s="50"/>
      <c r="AB39" s="51"/>
      <c r="AC39" s="48"/>
      <c r="AD39" s="52"/>
      <c r="AE39" s="52"/>
      <c r="AF39" s="52"/>
      <c r="AG39" s="52"/>
      <c r="AH39" s="53"/>
      <c r="AI39" s="14"/>
      <c r="AJ39" s="15"/>
      <c r="AK39" s="48"/>
      <c r="AL39" s="53"/>
      <c r="AM39" s="53"/>
      <c r="AN39" s="54"/>
      <c r="AO39" s="54"/>
      <c r="AP39" s="54"/>
      <c r="AQ39" s="54"/>
      <c r="AR39" s="55"/>
      <c r="AS39" s="55"/>
      <c r="AT39" s="55"/>
      <c r="AU39" s="55"/>
      <c r="AV39" s="56"/>
      <c r="AW39" s="57"/>
      <c r="AX39" s="57"/>
      <c r="AY39" s="57"/>
      <c r="AZ39" s="57"/>
      <c r="BA39" s="58"/>
      <c r="BB39" s="16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</row>
    <row r="40" spans="1:74" ht="60" customHeight="1" x14ac:dyDescent="0.35">
      <c r="A40" s="41"/>
      <c r="B40" s="41"/>
      <c r="C40" s="41"/>
      <c r="D40" s="41"/>
      <c r="E40" s="41"/>
      <c r="F40" s="42"/>
      <c r="G40" s="42"/>
      <c r="H40" s="42"/>
      <c r="I40" s="43"/>
      <c r="J40" s="13"/>
      <c r="K40" s="13"/>
      <c r="L40" s="44"/>
      <c r="M40" s="13"/>
      <c r="N40" s="13"/>
      <c r="O40" s="13"/>
      <c r="P40" s="45"/>
      <c r="Q40" s="45"/>
      <c r="R40" s="46"/>
      <c r="S40" s="47"/>
      <c r="T40" s="47"/>
      <c r="U40" s="13"/>
      <c r="V40" s="48"/>
      <c r="W40" s="49"/>
      <c r="X40" s="49"/>
      <c r="Y40" s="48"/>
      <c r="Z40" s="48"/>
      <c r="AA40" s="50"/>
      <c r="AB40" s="51"/>
      <c r="AC40" s="48"/>
      <c r="AD40" s="52"/>
      <c r="AE40" s="52"/>
      <c r="AF40" s="52"/>
      <c r="AG40" s="52"/>
      <c r="AH40" s="53"/>
      <c r="AI40" s="14"/>
      <c r="AJ40" s="15"/>
      <c r="AK40" s="48"/>
      <c r="AL40" s="53"/>
      <c r="AM40" s="53"/>
      <c r="AN40" s="54"/>
      <c r="AO40" s="54"/>
      <c r="AP40" s="54"/>
      <c r="AQ40" s="54"/>
      <c r="AR40" s="55"/>
      <c r="AS40" s="55"/>
      <c r="AT40" s="55"/>
      <c r="AU40" s="55"/>
      <c r="AV40" s="56"/>
      <c r="AW40" s="57"/>
      <c r="AX40" s="57"/>
      <c r="AY40" s="57"/>
      <c r="AZ40" s="57"/>
      <c r="BA40" s="58"/>
      <c r="BB40" s="16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</row>
    <row r="41" spans="1:74" ht="60" customHeight="1" x14ac:dyDescent="0.35">
      <c r="A41" s="41"/>
      <c r="B41" s="41"/>
      <c r="C41" s="41"/>
      <c r="D41" s="41"/>
      <c r="E41" s="41"/>
      <c r="F41" s="42"/>
      <c r="G41" s="42"/>
      <c r="H41" s="42"/>
      <c r="I41" s="43"/>
      <c r="J41" s="13"/>
      <c r="K41" s="13"/>
      <c r="L41" s="44"/>
      <c r="M41" s="13"/>
      <c r="N41" s="13"/>
      <c r="O41" s="13"/>
      <c r="P41" s="45"/>
      <c r="Q41" s="45"/>
      <c r="R41" s="46"/>
      <c r="S41" s="47"/>
      <c r="T41" s="47"/>
      <c r="U41" s="13"/>
      <c r="V41" s="48"/>
      <c r="W41" s="49"/>
      <c r="X41" s="49"/>
      <c r="Y41" s="48"/>
      <c r="Z41" s="48"/>
      <c r="AA41" s="50"/>
      <c r="AB41" s="51"/>
      <c r="AC41" s="48"/>
      <c r="AD41" s="52"/>
      <c r="AE41" s="52"/>
      <c r="AF41" s="52"/>
      <c r="AG41" s="52"/>
      <c r="AH41" s="53"/>
      <c r="AI41" s="14"/>
      <c r="AJ41" s="15"/>
      <c r="AK41" s="48"/>
      <c r="AL41" s="53"/>
      <c r="AM41" s="53"/>
      <c r="AN41" s="54"/>
      <c r="AO41" s="54"/>
      <c r="AP41" s="54"/>
      <c r="AQ41" s="54"/>
      <c r="AR41" s="55"/>
      <c r="AS41" s="55"/>
      <c r="AT41" s="55"/>
      <c r="AU41" s="55"/>
      <c r="AV41" s="56"/>
      <c r="AW41" s="57"/>
      <c r="AX41" s="57"/>
      <c r="AY41" s="57"/>
      <c r="AZ41" s="57"/>
      <c r="BA41" s="58"/>
      <c r="BB41" s="16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</row>
    <row r="42" spans="1:74" ht="60" customHeight="1" x14ac:dyDescent="0.35">
      <c r="A42" s="41"/>
      <c r="B42" s="41"/>
      <c r="C42" s="41"/>
      <c r="D42" s="41"/>
      <c r="E42" s="41"/>
      <c r="F42" s="42"/>
      <c r="G42" s="42"/>
      <c r="H42" s="42"/>
      <c r="I42" s="43"/>
      <c r="J42" s="13"/>
      <c r="K42" s="13"/>
      <c r="L42" s="44"/>
      <c r="M42" s="13"/>
      <c r="N42" s="13"/>
      <c r="O42" s="13"/>
      <c r="P42" s="45"/>
      <c r="Q42" s="45"/>
      <c r="R42" s="46"/>
      <c r="S42" s="47"/>
      <c r="T42" s="47"/>
      <c r="U42" s="13"/>
      <c r="V42" s="48"/>
      <c r="W42" s="49"/>
      <c r="X42" s="49"/>
      <c r="Y42" s="48"/>
      <c r="Z42" s="48"/>
      <c r="AA42" s="50"/>
      <c r="AB42" s="51"/>
      <c r="AC42" s="48"/>
      <c r="AD42" s="52"/>
      <c r="AE42" s="52"/>
      <c r="AF42" s="52"/>
      <c r="AG42" s="52"/>
      <c r="AH42" s="53"/>
      <c r="AI42" s="14"/>
      <c r="AJ42" s="15"/>
      <c r="AK42" s="48"/>
      <c r="AL42" s="53"/>
      <c r="AM42" s="53"/>
      <c r="AN42" s="54"/>
      <c r="AO42" s="54"/>
      <c r="AP42" s="54"/>
      <c r="AQ42" s="54"/>
      <c r="AR42" s="55"/>
      <c r="AS42" s="55"/>
      <c r="AT42" s="55"/>
      <c r="AU42" s="55"/>
      <c r="AV42" s="56"/>
      <c r="AW42" s="57"/>
      <c r="AX42" s="57"/>
      <c r="AY42" s="57"/>
      <c r="AZ42" s="57"/>
      <c r="BA42" s="58"/>
      <c r="BB42" s="16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</row>
    <row r="43" spans="1:74" ht="60" customHeight="1" x14ac:dyDescent="0.35">
      <c r="A43" s="41"/>
      <c r="B43" s="41"/>
      <c r="C43" s="41"/>
      <c r="D43" s="41"/>
      <c r="E43" s="41"/>
      <c r="F43" s="42"/>
      <c r="G43" s="42"/>
      <c r="H43" s="42"/>
      <c r="I43" s="43"/>
      <c r="J43" s="13"/>
      <c r="K43" s="13"/>
      <c r="L43" s="44"/>
      <c r="M43" s="13"/>
      <c r="N43" s="13"/>
      <c r="O43" s="13"/>
      <c r="P43" s="45"/>
      <c r="Q43" s="45"/>
      <c r="R43" s="46"/>
      <c r="S43" s="47"/>
      <c r="T43" s="47"/>
      <c r="U43" s="13"/>
      <c r="V43" s="48"/>
      <c r="W43" s="49"/>
      <c r="X43" s="49"/>
      <c r="Y43" s="48"/>
      <c r="Z43" s="48"/>
      <c r="AA43" s="50"/>
      <c r="AB43" s="51"/>
      <c r="AC43" s="48"/>
      <c r="AD43" s="52"/>
      <c r="AE43" s="52"/>
      <c r="AF43" s="52"/>
      <c r="AG43" s="52"/>
      <c r="AH43" s="53"/>
      <c r="AI43" s="14"/>
      <c r="AJ43" s="15"/>
      <c r="AK43" s="48"/>
      <c r="AL43" s="53"/>
      <c r="AM43" s="53"/>
      <c r="AN43" s="54"/>
      <c r="AO43" s="54"/>
      <c r="AP43" s="54"/>
      <c r="AQ43" s="54"/>
      <c r="AR43" s="55"/>
      <c r="AS43" s="55"/>
      <c r="AT43" s="55"/>
      <c r="AU43" s="55"/>
      <c r="AV43" s="56"/>
      <c r="AW43" s="57"/>
      <c r="AX43" s="57"/>
      <c r="AY43" s="57"/>
      <c r="AZ43" s="57"/>
      <c r="BA43" s="58"/>
      <c r="BB43" s="16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</row>
    <row r="44" spans="1:74" ht="60" customHeight="1" x14ac:dyDescent="0.35">
      <c r="A44" s="41"/>
      <c r="B44" s="41"/>
      <c r="C44" s="41"/>
      <c r="D44" s="41"/>
      <c r="E44" s="41"/>
      <c r="F44" s="42"/>
      <c r="G44" s="42"/>
      <c r="H44" s="42"/>
      <c r="I44" s="43"/>
      <c r="J44" s="13"/>
      <c r="K44" s="13"/>
      <c r="L44" s="44"/>
      <c r="M44" s="13"/>
      <c r="N44" s="13"/>
      <c r="O44" s="13"/>
      <c r="P44" s="45"/>
      <c r="Q44" s="45"/>
      <c r="R44" s="46"/>
      <c r="S44" s="47"/>
      <c r="T44" s="47"/>
      <c r="U44" s="13"/>
      <c r="V44" s="48"/>
      <c r="W44" s="49"/>
      <c r="X44" s="49"/>
      <c r="Y44" s="48"/>
      <c r="Z44" s="48"/>
      <c r="AA44" s="50"/>
      <c r="AB44" s="51"/>
      <c r="AC44" s="48"/>
      <c r="AD44" s="52"/>
      <c r="AE44" s="52"/>
      <c r="AF44" s="52"/>
      <c r="AG44" s="52"/>
      <c r="AH44" s="53"/>
      <c r="AI44" s="14"/>
      <c r="AJ44" s="15"/>
      <c r="AK44" s="48"/>
      <c r="AL44" s="53"/>
      <c r="AM44" s="53"/>
      <c r="AN44" s="54"/>
      <c r="AO44" s="54"/>
      <c r="AP44" s="54"/>
      <c r="AQ44" s="54"/>
      <c r="AR44" s="55"/>
      <c r="AS44" s="55"/>
      <c r="AT44" s="55"/>
      <c r="AU44" s="55"/>
      <c r="AV44" s="56"/>
      <c r="AW44" s="57"/>
      <c r="AX44" s="57"/>
      <c r="AY44" s="57"/>
      <c r="AZ44" s="57"/>
      <c r="BA44" s="58"/>
      <c r="BB44" s="16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</row>
    <row r="45" spans="1:74" ht="60" customHeight="1" x14ac:dyDescent="0.35">
      <c r="A45" s="41"/>
      <c r="B45" s="41"/>
      <c r="C45" s="41"/>
      <c r="D45" s="41"/>
      <c r="E45" s="41"/>
      <c r="F45" s="42"/>
      <c r="G45" s="42"/>
      <c r="H45" s="42"/>
      <c r="I45" s="43"/>
      <c r="J45" s="13"/>
      <c r="K45" s="13"/>
      <c r="L45" s="44"/>
      <c r="M45" s="13"/>
      <c r="N45" s="13"/>
      <c r="O45" s="13"/>
      <c r="P45" s="45"/>
      <c r="Q45" s="45"/>
      <c r="R45" s="46"/>
      <c r="S45" s="47"/>
      <c r="T45" s="47"/>
      <c r="U45" s="13"/>
      <c r="V45" s="48"/>
      <c r="W45" s="49"/>
      <c r="X45" s="49"/>
      <c r="Y45" s="48"/>
      <c r="Z45" s="48"/>
      <c r="AA45" s="50"/>
      <c r="AB45" s="51"/>
      <c r="AC45" s="48"/>
      <c r="AD45" s="52"/>
      <c r="AE45" s="52"/>
      <c r="AF45" s="52"/>
      <c r="AG45" s="52"/>
      <c r="AH45" s="53"/>
      <c r="AI45" s="14"/>
      <c r="AJ45" s="15"/>
      <c r="AK45" s="48"/>
      <c r="AL45" s="53"/>
      <c r="AM45" s="53"/>
      <c r="AN45" s="54"/>
      <c r="AO45" s="54"/>
      <c r="AP45" s="54"/>
      <c r="AQ45" s="54"/>
      <c r="AR45" s="55"/>
      <c r="AS45" s="55"/>
      <c r="AT45" s="55"/>
      <c r="AU45" s="55"/>
      <c r="AV45" s="56"/>
      <c r="AW45" s="57"/>
      <c r="AX45" s="57"/>
      <c r="AY45" s="57"/>
      <c r="AZ45" s="57"/>
      <c r="BA45" s="58"/>
      <c r="BB45" s="16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</row>
    <row r="46" spans="1:74" ht="60" customHeight="1" x14ac:dyDescent="0.35">
      <c r="A46" s="41"/>
      <c r="B46" s="41"/>
      <c r="C46" s="41"/>
      <c r="D46" s="41"/>
      <c r="E46" s="41"/>
      <c r="F46" s="42"/>
      <c r="G46" s="42"/>
      <c r="H46" s="42"/>
      <c r="I46" s="43"/>
      <c r="J46" s="13"/>
      <c r="K46" s="13"/>
      <c r="L46" s="44"/>
      <c r="M46" s="13"/>
      <c r="N46" s="13"/>
      <c r="O46" s="13"/>
      <c r="P46" s="45"/>
      <c r="Q46" s="45"/>
      <c r="R46" s="46"/>
      <c r="S46" s="47"/>
      <c r="T46" s="47"/>
      <c r="U46" s="13"/>
      <c r="V46" s="48"/>
      <c r="W46" s="49"/>
      <c r="X46" s="49"/>
      <c r="Y46" s="48"/>
      <c r="Z46" s="48"/>
      <c r="AA46" s="50"/>
      <c r="AB46" s="51"/>
      <c r="AC46" s="48"/>
      <c r="AD46" s="52"/>
      <c r="AE46" s="52"/>
      <c r="AF46" s="52"/>
      <c r="AG46" s="52"/>
      <c r="AH46" s="53"/>
      <c r="AI46" s="14"/>
      <c r="AJ46" s="15"/>
      <c r="AK46" s="48"/>
      <c r="AL46" s="53"/>
      <c r="AM46" s="53"/>
      <c r="AN46" s="54"/>
      <c r="AO46" s="54"/>
      <c r="AP46" s="54"/>
      <c r="AQ46" s="54"/>
      <c r="AR46" s="55"/>
      <c r="AS46" s="55"/>
      <c r="AT46" s="55"/>
      <c r="AU46" s="55"/>
      <c r="AV46" s="56"/>
      <c r="AW46" s="57"/>
      <c r="AX46" s="57"/>
      <c r="AY46" s="57"/>
      <c r="AZ46" s="57"/>
      <c r="BA46" s="58"/>
      <c r="BB46" s="16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</row>
    <row r="47" spans="1:74" ht="60" customHeight="1" x14ac:dyDescent="0.35">
      <c r="A47" s="41"/>
      <c r="B47" s="41"/>
      <c r="C47" s="41"/>
      <c r="D47" s="41"/>
      <c r="E47" s="41"/>
      <c r="F47" s="42"/>
      <c r="G47" s="42"/>
      <c r="H47" s="42"/>
      <c r="I47" s="43"/>
      <c r="J47" s="13"/>
      <c r="K47" s="13"/>
      <c r="L47" s="44"/>
      <c r="M47" s="13"/>
      <c r="N47" s="13"/>
      <c r="O47" s="13"/>
      <c r="P47" s="45"/>
      <c r="Q47" s="45"/>
      <c r="R47" s="46"/>
      <c r="S47" s="47"/>
      <c r="T47" s="47"/>
      <c r="U47" s="13"/>
      <c r="V47" s="48"/>
      <c r="W47" s="49"/>
      <c r="X47" s="49"/>
      <c r="Y47" s="48"/>
      <c r="Z47" s="48"/>
      <c r="AA47" s="50"/>
      <c r="AB47" s="51"/>
      <c r="AC47" s="48"/>
      <c r="AD47" s="52"/>
      <c r="AE47" s="52"/>
      <c r="AF47" s="52"/>
      <c r="AG47" s="52"/>
      <c r="AH47" s="53"/>
      <c r="AI47" s="14"/>
      <c r="AJ47" s="15"/>
      <c r="AK47" s="48"/>
      <c r="AL47" s="53"/>
      <c r="AM47" s="53"/>
      <c r="AN47" s="54"/>
      <c r="AO47" s="54"/>
      <c r="AP47" s="54"/>
      <c r="AQ47" s="54"/>
      <c r="AR47" s="55"/>
      <c r="AS47" s="55"/>
      <c r="AT47" s="55"/>
      <c r="AU47" s="55"/>
      <c r="AV47" s="56"/>
      <c r="AW47" s="57"/>
      <c r="AX47" s="57"/>
      <c r="AY47" s="57"/>
      <c r="AZ47" s="57"/>
      <c r="BA47" s="58"/>
      <c r="BB47" s="16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</row>
    <row r="48" spans="1:74" ht="60" customHeight="1" x14ac:dyDescent="0.35">
      <c r="A48" s="41"/>
      <c r="B48" s="41"/>
      <c r="C48" s="41"/>
      <c r="D48" s="41"/>
      <c r="E48" s="41"/>
      <c r="F48" s="42"/>
      <c r="G48" s="42"/>
      <c r="H48" s="42"/>
      <c r="I48" s="43"/>
      <c r="J48" s="13"/>
      <c r="K48" s="13"/>
      <c r="L48" s="44"/>
      <c r="M48" s="13"/>
      <c r="N48" s="13"/>
      <c r="O48" s="13"/>
      <c r="P48" s="45"/>
      <c r="Q48" s="45"/>
      <c r="R48" s="46"/>
      <c r="S48" s="47"/>
      <c r="T48" s="47"/>
      <c r="U48" s="13"/>
      <c r="V48" s="48"/>
      <c r="W48" s="49"/>
      <c r="X48" s="49"/>
      <c r="Y48" s="48"/>
      <c r="Z48" s="48"/>
      <c r="AA48" s="50"/>
      <c r="AB48" s="51"/>
      <c r="AC48" s="48"/>
      <c r="AD48" s="52"/>
      <c r="AE48" s="52"/>
      <c r="AF48" s="52"/>
      <c r="AG48" s="52"/>
      <c r="AH48" s="53"/>
      <c r="AI48" s="14"/>
      <c r="AJ48" s="15"/>
      <c r="AK48" s="48"/>
      <c r="AL48" s="53"/>
      <c r="AM48" s="53"/>
      <c r="AN48" s="54"/>
      <c r="AO48" s="54"/>
      <c r="AP48" s="54"/>
      <c r="AQ48" s="54"/>
      <c r="AR48" s="55"/>
      <c r="AS48" s="55"/>
      <c r="AT48" s="55"/>
      <c r="AU48" s="55"/>
      <c r="AV48" s="56"/>
      <c r="AW48" s="57"/>
      <c r="AX48" s="57"/>
      <c r="AY48" s="57"/>
      <c r="AZ48" s="57"/>
      <c r="BA48" s="58"/>
      <c r="BB48" s="16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</row>
    <row r="49" spans="1:73" ht="60" customHeight="1" x14ac:dyDescent="0.35">
      <c r="A49" s="41"/>
      <c r="B49" s="41"/>
      <c r="C49" s="41"/>
      <c r="D49" s="41"/>
      <c r="E49" s="41"/>
      <c r="F49" s="42"/>
      <c r="G49" s="42"/>
      <c r="H49" s="42"/>
      <c r="I49" s="43"/>
      <c r="J49" s="13"/>
      <c r="K49" s="13"/>
      <c r="L49" s="44"/>
      <c r="M49" s="13"/>
      <c r="N49" s="13"/>
      <c r="O49" s="13"/>
      <c r="P49" s="45"/>
      <c r="Q49" s="45"/>
      <c r="R49" s="46"/>
      <c r="S49" s="47"/>
      <c r="T49" s="47"/>
      <c r="U49" s="13"/>
      <c r="V49" s="48"/>
      <c r="W49" s="49"/>
      <c r="X49" s="49"/>
      <c r="Y49" s="48"/>
      <c r="Z49" s="48"/>
      <c r="AA49" s="50"/>
      <c r="AB49" s="51"/>
      <c r="AC49" s="48"/>
      <c r="AD49" s="52"/>
      <c r="AE49" s="52"/>
      <c r="AF49" s="52"/>
      <c r="AG49" s="52"/>
      <c r="AH49" s="53"/>
      <c r="AI49" s="14"/>
      <c r="AJ49" s="15"/>
      <c r="AK49" s="48"/>
      <c r="AL49" s="53"/>
      <c r="AM49" s="53"/>
      <c r="AN49" s="54"/>
      <c r="AO49" s="54"/>
      <c r="AP49" s="54"/>
      <c r="AQ49" s="54"/>
      <c r="AR49" s="55"/>
      <c r="AS49" s="55"/>
      <c r="AT49" s="55"/>
      <c r="AU49" s="55"/>
      <c r="AV49" s="56"/>
      <c r="AW49" s="57"/>
      <c r="AX49" s="57"/>
      <c r="AY49" s="57"/>
      <c r="AZ49" s="57"/>
      <c r="BA49" s="58"/>
      <c r="BB49" s="16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</row>
    <row r="50" spans="1:73" ht="60" customHeight="1" x14ac:dyDescent="0.35">
      <c r="A50" s="41"/>
      <c r="B50" s="41"/>
      <c r="C50" s="41"/>
      <c r="D50" s="41"/>
      <c r="E50" s="41"/>
      <c r="F50" s="42"/>
      <c r="G50" s="42"/>
      <c r="H50" s="42"/>
      <c r="I50" s="43"/>
      <c r="J50" s="13"/>
      <c r="K50" s="13"/>
      <c r="L50" s="44"/>
      <c r="M50" s="13"/>
      <c r="N50" s="13"/>
      <c r="O50" s="13"/>
      <c r="P50" s="45"/>
      <c r="Q50" s="45"/>
      <c r="R50" s="46"/>
      <c r="S50" s="47"/>
      <c r="T50" s="47"/>
      <c r="U50" s="13"/>
      <c r="V50" s="48"/>
      <c r="W50" s="49"/>
      <c r="X50" s="49"/>
      <c r="Y50" s="48"/>
      <c r="Z50" s="48"/>
      <c r="AA50" s="50"/>
      <c r="AB50" s="51"/>
      <c r="AC50" s="48"/>
      <c r="AD50" s="52"/>
      <c r="AE50" s="52"/>
      <c r="AF50" s="52"/>
      <c r="AG50" s="52"/>
      <c r="AH50" s="53"/>
      <c r="AI50" s="14"/>
      <c r="AJ50" s="15"/>
      <c r="AK50" s="48"/>
      <c r="AL50" s="53"/>
      <c r="AM50" s="53"/>
      <c r="AN50" s="54"/>
      <c r="AO50" s="54"/>
      <c r="AP50" s="54"/>
      <c r="AQ50" s="54"/>
      <c r="AR50" s="55"/>
      <c r="AS50" s="55"/>
      <c r="AT50" s="55"/>
      <c r="AU50" s="55"/>
      <c r="AV50" s="56"/>
      <c r="AW50" s="57"/>
      <c r="AX50" s="57"/>
      <c r="AY50" s="57"/>
      <c r="AZ50" s="57"/>
      <c r="BA50" s="58"/>
      <c r="BB50" s="16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</row>
    <row r="51" spans="1:73" ht="60" customHeight="1" x14ac:dyDescent="0.35">
      <c r="A51" s="41"/>
      <c r="B51" s="41"/>
      <c r="C51" s="41"/>
      <c r="D51" s="41"/>
      <c r="E51" s="41"/>
      <c r="F51" s="42"/>
      <c r="G51" s="42"/>
      <c r="H51" s="42"/>
      <c r="I51" s="43"/>
      <c r="J51" s="13"/>
      <c r="K51" s="13"/>
      <c r="L51" s="44"/>
      <c r="M51" s="13"/>
      <c r="N51" s="13"/>
      <c r="O51" s="13"/>
      <c r="P51" s="45"/>
      <c r="Q51" s="45"/>
      <c r="R51" s="46"/>
      <c r="S51" s="47"/>
      <c r="T51" s="47"/>
      <c r="U51" s="13"/>
      <c r="V51" s="48"/>
      <c r="W51" s="49"/>
      <c r="X51" s="49"/>
      <c r="Y51" s="48"/>
      <c r="Z51" s="48"/>
      <c r="AA51" s="50"/>
      <c r="AB51" s="51"/>
      <c r="AC51" s="48"/>
      <c r="AD51" s="52"/>
      <c r="AE51" s="52"/>
      <c r="AF51" s="52"/>
      <c r="AG51" s="52"/>
      <c r="AH51" s="53"/>
      <c r="AI51" s="14"/>
      <c r="AJ51" s="15"/>
      <c r="AK51" s="48"/>
      <c r="AL51" s="53"/>
      <c r="AM51" s="53"/>
      <c r="AN51" s="54"/>
      <c r="AO51" s="54"/>
      <c r="AP51" s="54"/>
      <c r="AQ51" s="54"/>
      <c r="AR51" s="55"/>
      <c r="AS51" s="55"/>
      <c r="AT51" s="55"/>
      <c r="AU51" s="55"/>
      <c r="AV51" s="56"/>
      <c r="AW51" s="57"/>
      <c r="AX51" s="57"/>
      <c r="AY51" s="57"/>
      <c r="AZ51" s="57"/>
      <c r="BA51" s="58"/>
      <c r="BB51" s="16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</row>
    <row r="52" spans="1:73" ht="60" customHeight="1" x14ac:dyDescent="0.35">
      <c r="A52" s="41"/>
      <c r="B52" s="41"/>
      <c r="C52" s="41"/>
      <c r="D52" s="41"/>
      <c r="E52" s="41"/>
      <c r="F52" s="42"/>
      <c r="G52" s="42"/>
      <c r="H52" s="42"/>
      <c r="I52" s="43"/>
      <c r="J52" s="13"/>
      <c r="K52" s="13"/>
      <c r="L52" s="44"/>
      <c r="M52" s="13"/>
      <c r="N52" s="13"/>
      <c r="O52" s="13"/>
      <c r="P52" s="45"/>
      <c r="Q52" s="45"/>
      <c r="R52" s="46"/>
      <c r="S52" s="47"/>
      <c r="T52" s="47"/>
      <c r="U52" s="13"/>
      <c r="V52" s="48"/>
      <c r="W52" s="49"/>
      <c r="X52" s="49"/>
      <c r="Y52" s="48"/>
      <c r="Z52" s="48"/>
      <c r="AA52" s="50"/>
      <c r="AB52" s="51"/>
      <c r="AC52" s="48"/>
      <c r="AD52" s="52"/>
      <c r="AE52" s="52"/>
      <c r="AF52" s="52"/>
      <c r="AG52" s="52"/>
      <c r="AH52" s="53"/>
      <c r="AI52" s="14"/>
      <c r="AJ52" s="15"/>
      <c r="AK52" s="48"/>
      <c r="AL52" s="53"/>
      <c r="AM52" s="53"/>
      <c r="AN52" s="54"/>
      <c r="AO52" s="54"/>
      <c r="AP52" s="54"/>
      <c r="AQ52" s="54"/>
      <c r="AR52" s="55"/>
      <c r="AS52" s="55"/>
      <c r="AT52" s="55"/>
      <c r="AU52" s="55"/>
      <c r="AV52" s="56"/>
      <c r="AW52" s="57"/>
      <c r="AX52" s="57"/>
      <c r="AY52" s="57"/>
      <c r="AZ52" s="57"/>
      <c r="BA52" s="58"/>
      <c r="BB52" s="16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</row>
    <row r="53" spans="1:73" ht="60" customHeight="1" x14ac:dyDescent="0.35">
      <c r="A53" s="41"/>
      <c r="B53" s="41"/>
      <c r="C53" s="41"/>
      <c r="D53" s="41"/>
      <c r="E53" s="41"/>
      <c r="F53" s="42"/>
      <c r="G53" s="42"/>
      <c r="H53" s="42"/>
      <c r="I53" s="43"/>
      <c r="J53" s="13"/>
      <c r="K53" s="13"/>
      <c r="L53" s="44"/>
      <c r="M53" s="13"/>
      <c r="N53" s="13"/>
      <c r="O53" s="13"/>
      <c r="P53" s="45"/>
      <c r="Q53" s="45"/>
      <c r="R53" s="46"/>
      <c r="S53" s="47"/>
      <c r="T53" s="47"/>
      <c r="U53" s="13"/>
      <c r="V53" s="48"/>
      <c r="W53" s="49"/>
      <c r="X53" s="49"/>
      <c r="Y53" s="48"/>
      <c r="Z53" s="48"/>
      <c r="AA53" s="50"/>
      <c r="AB53" s="51"/>
      <c r="AC53" s="48"/>
      <c r="AD53" s="52"/>
      <c r="AE53" s="52"/>
      <c r="AF53" s="52"/>
      <c r="AG53" s="52"/>
      <c r="AH53" s="53"/>
      <c r="AI53" s="14"/>
      <c r="AJ53" s="15"/>
      <c r="AK53" s="48"/>
      <c r="AL53" s="53"/>
      <c r="AM53" s="53"/>
      <c r="AN53" s="54"/>
      <c r="AO53" s="54"/>
      <c r="AP53" s="54"/>
      <c r="AQ53" s="54"/>
      <c r="AR53" s="55"/>
      <c r="AS53" s="55"/>
      <c r="AT53" s="55"/>
      <c r="AU53" s="55"/>
      <c r="AV53" s="56"/>
      <c r="AW53" s="57"/>
      <c r="AX53" s="57"/>
      <c r="AY53" s="57"/>
      <c r="AZ53" s="57"/>
      <c r="BA53" s="58"/>
      <c r="BB53" s="16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</row>
    <row r="54" spans="1:73" ht="60" customHeight="1" x14ac:dyDescent="0.35">
      <c r="A54" s="41"/>
      <c r="B54" s="41"/>
      <c r="C54" s="41"/>
      <c r="D54" s="41"/>
      <c r="E54" s="41"/>
      <c r="F54" s="42"/>
      <c r="G54" s="42"/>
      <c r="H54" s="42"/>
      <c r="I54" s="43"/>
      <c r="J54" s="13"/>
      <c r="K54" s="13"/>
      <c r="L54" s="44"/>
      <c r="M54" s="13"/>
      <c r="N54" s="13"/>
      <c r="O54" s="13"/>
      <c r="P54" s="45"/>
      <c r="Q54" s="45"/>
      <c r="R54" s="46"/>
      <c r="S54" s="47"/>
      <c r="T54" s="47"/>
      <c r="U54" s="13"/>
      <c r="V54" s="48"/>
      <c r="W54" s="49"/>
      <c r="X54" s="49"/>
      <c r="Y54" s="48"/>
      <c r="Z54" s="48"/>
      <c r="AA54" s="50"/>
      <c r="AB54" s="51"/>
      <c r="AC54" s="48"/>
      <c r="AD54" s="52"/>
      <c r="AE54" s="52"/>
      <c r="AF54" s="52"/>
      <c r="AG54" s="52"/>
      <c r="AH54" s="53"/>
      <c r="AI54" s="14"/>
      <c r="AJ54" s="15"/>
      <c r="AK54" s="48"/>
      <c r="AL54" s="53"/>
      <c r="AM54" s="53"/>
      <c r="AN54" s="54"/>
      <c r="AO54" s="54"/>
      <c r="AP54" s="54"/>
      <c r="AQ54" s="54"/>
      <c r="AR54" s="55"/>
      <c r="AS54" s="55"/>
      <c r="AT54" s="55"/>
      <c r="AU54" s="55"/>
      <c r="AV54" s="56"/>
      <c r="AW54" s="57"/>
      <c r="AX54" s="57"/>
      <c r="AY54" s="57"/>
      <c r="AZ54" s="57"/>
      <c r="BA54" s="58"/>
      <c r="BB54" s="16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</row>
    <row r="55" spans="1:73" ht="60" customHeight="1" x14ac:dyDescent="0.35">
      <c r="A55" s="41"/>
      <c r="B55" s="41"/>
      <c r="C55" s="41"/>
      <c r="D55" s="41"/>
      <c r="E55" s="41"/>
      <c r="F55" s="42"/>
      <c r="G55" s="42"/>
      <c r="H55" s="42"/>
      <c r="I55" s="43"/>
      <c r="J55" s="13"/>
      <c r="K55" s="13"/>
      <c r="L55" s="44"/>
      <c r="M55" s="13"/>
      <c r="N55" s="13"/>
      <c r="O55" s="13"/>
      <c r="P55" s="45"/>
      <c r="Q55" s="45"/>
      <c r="R55" s="46"/>
      <c r="S55" s="47"/>
      <c r="T55" s="47"/>
      <c r="U55" s="13"/>
      <c r="V55" s="48"/>
      <c r="W55" s="49"/>
      <c r="X55" s="49"/>
      <c r="Y55" s="48"/>
      <c r="Z55" s="48"/>
      <c r="AA55" s="50"/>
      <c r="AB55" s="51"/>
      <c r="AC55" s="48"/>
      <c r="AD55" s="52"/>
      <c r="AE55" s="52"/>
      <c r="AF55" s="52"/>
      <c r="AG55" s="52"/>
      <c r="AH55" s="53"/>
      <c r="AI55" s="14"/>
      <c r="AJ55" s="15"/>
      <c r="AK55" s="48"/>
      <c r="AL55" s="53"/>
      <c r="AM55" s="53"/>
      <c r="AN55" s="54"/>
      <c r="AO55" s="54"/>
      <c r="AP55" s="54"/>
      <c r="AQ55" s="54"/>
      <c r="AR55" s="55"/>
      <c r="AS55" s="55"/>
      <c r="AT55" s="55"/>
      <c r="AU55" s="55"/>
      <c r="AV55" s="56"/>
      <c r="AW55" s="57"/>
      <c r="AX55" s="57"/>
      <c r="AY55" s="57"/>
      <c r="AZ55" s="57"/>
      <c r="BA55" s="58"/>
      <c r="BB55" s="16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</row>
    <row r="56" spans="1:73" ht="60" customHeight="1" x14ac:dyDescent="0.35">
      <c r="A56" s="41"/>
      <c r="B56" s="41"/>
      <c r="C56" s="41"/>
      <c r="D56" s="41"/>
      <c r="E56" s="41"/>
      <c r="F56" s="42"/>
      <c r="G56" s="42"/>
      <c r="H56" s="42"/>
      <c r="I56" s="43"/>
      <c r="J56" s="13"/>
      <c r="K56" s="13"/>
      <c r="L56" s="44"/>
      <c r="M56" s="13"/>
      <c r="N56" s="13"/>
      <c r="O56" s="13"/>
      <c r="P56" s="45"/>
      <c r="Q56" s="45"/>
      <c r="R56" s="46"/>
      <c r="S56" s="47"/>
      <c r="T56" s="47"/>
      <c r="U56" s="13"/>
      <c r="V56" s="48"/>
      <c r="W56" s="49"/>
      <c r="X56" s="49"/>
      <c r="Y56" s="48"/>
      <c r="Z56" s="48"/>
      <c r="AA56" s="50"/>
      <c r="AB56" s="51"/>
      <c r="AC56" s="48"/>
      <c r="AD56" s="52"/>
      <c r="AE56" s="52"/>
      <c r="AF56" s="52"/>
      <c r="AG56" s="52"/>
      <c r="AH56" s="53"/>
      <c r="AI56" s="14"/>
      <c r="AJ56" s="15"/>
      <c r="AK56" s="48"/>
      <c r="AL56" s="53"/>
      <c r="AM56" s="53"/>
      <c r="AN56" s="54"/>
      <c r="AO56" s="54"/>
      <c r="AP56" s="54"/>
      <c r="AQ56" s="54"/>
      <c r="AR56" s="55"/>
      <c r="AS56" s="55"/>
      <c r="AT56" s="55"/>
      <c r="AU56" s="55"/>
      <c r="AV56" s="56"/>
      <c r="AW56" s="57"/>
      <c r="AX56" s="57"/>
      <c r="AY56" s="57"/>
      <c r="AZ56" s="57"/>
      <c r="BA56" s="58"/>
      <c r="BB56" s="16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</row>
    <row r="57" spans="1:73" ht="60" customHeight="1" x14ac:dyDescent="0.35">
      <c r="A57" s="41"/>
      <c r="B57" s="41"/>
      <c r="C57" s="41"/>
      <c r="D57" s="41"/>
      <c r="E57" s="41"/>
      <c r="F57" s="42"/>
      <c r="G57" s="42"/>
      <c r="H57" s="42"/>
      <c r="I57" s="43"/>
      <c r="J57" s="13"/>
      <c r="K57" s="13"/>
      <c r="L57" s="44"/>
      <c r="M57" s="13"/>
      <c r="N57" s="13"/>
      <c r="O57" s="13"/>
      <c r="P57" s="45"/>
      <c r="Q57" s="45"/>
      <c r="R57" s="46"/>
      <c r="S57" s="47"/>
      <c r="T57" s="47"/>
      <c r="U57" s="13"/>
      <c r="V57" s="48"/>
      <c r="W57" s="49"/>
      <c r="X57" s="49"/>
      <c r="Y57" s="48"/>
      <c r="Z57" s="48"/>
      <c r="AA57" s="50"/>
      <c r="AB57" s="51"/>
      <c r="AC57" s="48"/>
      <c r="AD57" s="52"/>
      <c r="AE57" s="52"/>
      <c r="AF57" s="52"/>
      <c r="AG57" s="52"/>
      <c r="AH57" s="53"/>
      <c r="AI57" s="14"/>
      <c r="AJ57" s="15"/>
      <c r="AK57" s="48"/>
      <c r="AL57" s="53"/>
      <c r="AM57" s="53"/>
      <c r="AN57" s="54"/>
      <c r="AO57" s="54"/>
      <c r="AP57" s="54"/>
      <c r="AQ57" s="54"/>
      <c r="AR57" s="55"/>
      <c r="AS57" s="55"/>
      <c r="AT57" s="55"/>
      <c r="AU57" s="55"/>
      <c r="AV57" s="56"/>
      <c r="AW57" s="57"/>
      <c r="AX57" s="57"/>
      <c r="AY57" s="57"/>
      <c r="AZ57" s="57"/>
      <c r="BA57" s="58"/>
      <c r="BB57" s="16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</row>
    <row r="58" spans="1:73" ht="60" customHeight="1" x14ac:dyDescent="0.35">
      <c r="A58" s="41"/>
      <c r="B58" s="41"/>
      <c r="C58" s="41"/>
      <c r="D58" s="41"/>
      <c r="E58" s="41"/>
      <c r="F58" s="42"/>
      <c r="G58" s="42"/>
      <c r="H58" s="42"/>
      <c r="I58" s="43"/>
      <c r="J58" s="13"/>
      <c r="K58" s="13"/>
      <c r="L58" s="44"/>
      <c r="M58" s="13"/>
      <c r="N58" s="13"/>
      <c r="O58" s="13"/>
      <c r="P58" s="45"/>
      <c r="Q58" s="45"/>
      <c r="R58" s="46"/>
      <c r="S58" s="47"/>
      <c r="T58" s="47"/>
      <c r="U58" s="13"/>
      <c r="V58" s="48"/>
      <c r="W58" s="49"/>
      <c r="X58" s="49"/>
      <c r="Y58" s="48"/>
      <c r="Z58" s="48"/>
      <c r="AA58" s="50"/>
      <c r="AB58" s="51"/>
      <c r="AC58" s="48"/>
      <c r="AD58" s="52"/>
      <c r="AE58" s="52"/>
      <c r="AF58" s="52"/>
      <c r="AG58" s="52"/>
      <c r="AH58" s="53"/>
      <c r="AI58" s="14"/>
      <c r="AJ58" s="15"/>
      <c r="AK58" s="48"/>
      <c r="AL58" s="53"/>
      <c r="AM58" s="53"/>
      <c r="AN58" s="54"/>
      <c r="AO58" s="54"/>
      <c r="AP58" s="54"/>
      <c r="AQ58" s="54"/>
      <c r="AR58" s="55"/>
      <c r="AS58" s="55"/>
      <c r="AT58" s="55"/>
      <c r="AU58" s="55"/>
      <c r="AV58" s="56"/>
      <c r="AW58" s="57"/>
      <c r="AX58" s="57"/>
      <c r="AY58" s="57"/>
      <c r="AZ58" s="57"/>
      <c r="BA58" s="58"/>
      <c r="BB58" s="16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</row>
    <row r="59" spans="1:73" ht="60" customHeight="1" x14ac:dyDescent="0.35">
      <c r="A59" s="41"/>
      <c r="B59" s="41"/>
      <c r="C59" s="41"/>
      <c r="D59" s="41"/>
      <c r="E59" s="41"/>
      <c r="F59" s="42"/>
      <c r="G59" s="42"/>
      <c r="H59" s="42"/>
      <c r="I59" s="43"/>
      <c r="J59" s="13"/>
      <c r="K59" s="13"/>
      <c r="L59" s="44"/>
      <c r="M59" s="13"/>
      <c r="N59" s="13"/>
      <c r="O59" s="13"/>
      <c r="P59" s="45"/>
      <c r="Q59" s="45"/>
      <c r="R59" s="46"/>
      <c r="S59" s="47"/>
      <c r="T59" s="47"/>
      <c r="U59" s="13"/>
      <c r="V59" s="48"/>
      <c r="W59" s="49"/>
      <c r="X59" s="49"/>
      <c r="Y59" s="48"/>
      <c r="Z59" s="48"/>
      <c r="AA59" s="50"/>
      <c r="AB59" s="51"/>
      <c r="AC59" s="48"/>
      <c r="AD59" s="52"/>
      <c r="AE59" s="52"/>
      <c r="AF59" s="52"/>
      <c r="AG59" s="52"/>
      <c r="AH59" s="53"/>
      <c r="AI59" s="14"/>
      <c r="AJ59" s="15"/>
      <c r="AK59" s="48"/>
      <c r="AL59" s="53"/>
      <c r="AM59" s="53"/>
      <c r="AN59" s="54"/>
      <c r="AO59" s="54"/>
      <c r="AP59" s="54"/>
      <c r="AQ59" s="54"/>
      <c r="AR59" s="55"/>
      <c r="AS59" s="55"/>
      <c r="AT59" s="55"/>
      <c r="AU59" s="55"/>
      <c r="AV59" s="56"/>
      <c r="AW59" s="57"/>
      <c r="AX59" s="57"/>
      <c r="AY59" s="57"/>
      <c r="AZ59" s="57"/>
      <c r="BA59" s="58"/>
      <c r="BB59" s="16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</row>
    <row r="60" spans="1:73" ht="60" customHeight="1" x14ac:dyDescent="0.35">
      <c r="A60" s="41"/>
      <c r="B60" s="41"/>
      <c r="C60" s="41"/>
      <c r="D60" s="41"/>
      <c r="E60" s="41"/>
      <c r="F60" s="42"/>
      <c r="G60" s="42"/>
      <c r="H60" s="42"/>
      <c r="I60" s="43"/>
      <c r="J60" s="13"/>
      <c r="K60" s="13"/>
      <c r="L60" s="44"/>
      <c r="M60" s="13"/>
      <c r="N60" s="13"/>
      <c r="O60" s="13"/>
      <c r="P60" s="45"/>
      <c r="Q60" s="45"/>
      <c r="R60" s="46"/>
      <c r="S60" s="47"/>
      <c r="T60" s="47"/>
      <c r="U60" s="13"/>
      <c r="V60" s="48"/>
      <c r="W60" s="49"/>
      <c r="X60" s="49"/>
      <c r="Y60" s="48"/>
      <c r="Z60" s="48"/>
      <c r="AA60" s="50"/>
      <c r="AB60" s="51"/>
      <c r="AC60" s="48"/>
      <c r="AD60" s="52"/>
      <c r="AE60" s="52"/>
      <c r="AF60" s="52"/>
      <c r="AG60" s="52"/>
      <c r="AH60" s="53"/>
      <c r="AI60" s="14"/>
      <c r="AJ60" s="15"/>
      <c r="AK60" s="48"/>
      <c r="AL60" s="53"/>
      <c r="AM60" s="53"/>
      <c r="AN60" s="54"/>
      <c r="AO60" s="54"/>
      <c r="AP60" s="54"/>
      <c r="AQ60" s="54"/>
      <c r="AR60" s="55"/>
      <c r="AS60" s="55"/>
      <c r="AT60" s="55"/>
      <c r="AU60" s="55"/>
      <c r="AV60" s="56"/>
      <c r="AW60" s="57"/>
      <c r="AX60" s="57"/>
      <c r="AY60" s="57"/>
      <c r="AZ60" s="57"/>
      <c r="BA60" s="58"/>
      <c r="BB60" s="16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</row>
    <row r="61" spans="1:73" ht="60" customHeight="1" x14ac:dyDescent="0.35">
      <c r="A61" s="41"/>
      <c r="B61" s="41"/>
      <c r="C61" s="41"/>
      <c r="D61" s="41"/>
      <c r="E61" s="41"/>
      <c r="F61" s="42"/>
      <c r="G61" s="42"/>
      <c r="H61" s="42"/>
      <c r="I61" s="43"/>
      <c r="J61" s="13"/>
      <c r="K61" s="13"/>
      <c r="L61" s="44"/>
      <c r="M61" s="13"/>
      <c r="N61" s="13"/>
      <c r="O61" s="13"/>
      <c r="P61" s="45"/>
      <c r="Q61" s="45"/>
      <c r="R61" s="46"/>
      <c r="S61" s="47"/>
      <c r="T61" s="47"/>
      <c r="U61" s="13"/>
      <c r="V61" s="48"/>
      <c r="W61" s="49"/>
      <c r="X61" s="49"/>
      <c r="Y61" s="48"/>
      <c r="Z61" s="48"/>
      <c r="AA61" s="50"/>
      <c r="AB61" s="51"/>
      <c r="AC61" s="48"/>
      <c r="AD61" s="52"/>
      <c r="AE61" s="52"/>
      <c r="AF61" s="52"/>
      <c r="AG61" s="52"/>
      <c r="AH61" s="53"/>
      <c r="AI61" s="14"/>
      <c r="AJ61" s="15"/>
      <c r="AK61" s="48"/>
      <c r="AL61" s="53"/>
      <c r="AM61" s="53"/>
      <c r="AN61" s="54"/>
      <c r="AO61" s="54"/>
      <c r="AP61" s="54"/>
      <c r="AQ61" s="54"/>
      <c r="AR61" s="55"/>
      <c r="AS61" s="55"/>
      <c r="AT61" s="55"/>
      <c r="AU61" s="55"/>
      <c r="AV61" s="56"/>
      <c r="AW61" s="57"/>
      <c r="AX61" s="57"/>
      <c r="AY61" s="57"/>
      <c r="AZ61" s="57"/>
      <c r="BA61" s="58"/>
      <c r="BB61" s="16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</row>
    <row r="62" spans="1:73" ht="60" customHeight="1" x14ac:dyDescent="0.35">
      <c r="A62" s="41"/>
      <c r="B62" s="41"/>
      <c r="C62" s="41"/>
      <c r="D62" s="41"/>
      <c r="E62" s="41"/>
      <c r="F62" s="42"/>
      <c r="G62" s="42"/>
      <c r="H62" s="42"/>
      <c r="I62" s="43"/>
      <c r="J62" s="13"/>
      <c r="K62" s="13"/>
      <c r="L62" s="44"/>
      <c r="M62" s="13"/>
      <c r="N62" s="13"/>
      <c r="O62" s="13"/>
      <c r="P62" s="45"/>
      <c r="Q62" s="45"/>
      <c r="R62" s="46"/>
      <c r="S62" s="47"/>
      <c r="T62" s="47"/>
      <c r="U62" s="13"/>
      <c r="V62" s="48"/>
      <c r="W62" s="49"/>
      <c r="X62" s="49"/>
      <c r="Y62" s="48"/>
      <c r="Z62" s="48"/>
      <c r="AA62" s="50"/>
      <c r="AB62" s="51"/>
      <c r="AC62" s="48"/>
      <c r="AD62" s="52"/>
      <c r="AE62" s="52"/>
      <c r="AF62" s="52"/>
      <c r="AG62" s="52"/>
      <c r="AH62" s="53"/>
      <c r="AI62" s="14"/>
      <c r="AJ62" s="15"/>
      <c r="AK62" s="48"/>
      <c r="AL62" s="53"/>
      <c r="AM62" s="53"/>
      <c r="AN62" s="54"/>
      <c r="AO62" s="54"/>
      <c r="AP62" s="54"/>
      <c r="AQ62" s="54"/>
      <c r="AR62" s="55"/>
      <c r="AS62" s="55"/>
      <c r="AT62" s="55"/>
      <c r="AU62" s="55"/>
      <c r="AV62" s="56"/>
      <c r="AW62" s="57"/>
      <c r="AX62" s="57"/>
      <c r="AY62" s="57"/>
      <c r="AZ62" s="57"/>
      <c r="BA62" s="58"/>
      <c r="BB62" s="16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</row>
    <row r="63" spans="1:73" ht="60" customHeight="1" x14ac:dyDescent="0.35">
      <c r="A63" s="41"/>
      <c r="B63" s="41"/>
      <c r="C63" s="41"/>
      <c r="D63" s="41"/>
      <c r="E63" s="41"/>
      <c r="F63" s="42"/>
      <c r="G63" s="42"/>
      <c r="H63" s="42"/>
      <c r="I63" s="43"/>
      <c r="J63" s="13"/>
      <c r="K63" s="13"/>
      <c r="L63" s="44"/>
      <c r="M63" s="13"/>
      <c r="N63" s="13"/>
      <c r="O63" s="13"/>
      <c r="P63" s="45"/>
      <c r="Q63" s="45"/>
      <c r="R63" s="46"/>
      <c r="S63" s="47"/>
      <c r="T63" s="47"/>
      <c r="U63" s="13"/>
      <c r="V63" s="48"/>
      <c r="W63" s="49"/>
      <c r="X63" s="49"/>
      <c r="Y63" s="48"/>
      <c r="Z63" s="48"/>
      <c r="AA63" s="50"/>
      <c r="AB63" s="51"/>
      <c r="AC63" s="48"/>
      <c r="AD63" s="52"/>
      <c r="AE63" s="52"/>
      <c r="AF63" s="52"/>
      <c r="AG63" s="52"/>
      <c r="AH63" s="53"/>
      <c r="AI63" s="14"/>
      <c r="AJ63" s="15"/>
      <c r="AK63" s="48"/>
      <c r="AL63" s="53"/>
      <c r="AM63" s="53"/>
      <c r="AN63" s="54"/>
      <c r="AO63" s="54"/>
      <c r="AP63" s="54"/>
      <c r="AQ63" s="54"/>
      <c r="AR63" s="55"/>
      <c r="AS63" s="55"/>
      <c r="AT63" s="55"/>
      <c r="AU63" s="55"/>
      <c r="AV63" s="56"/>
      <c r="AW63" s="57"/>
      <c r="AX63" s="57"/>
      <c r="AY63" s="57"/>
      <c r="AZ63" s="57"/>
      <c r="BA63" s="58"/>
      <c r="BB63" s="16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</row>
    <row r="64" spans="1:73" ht="60" customHeight="1" x14ac:dyDescent="0.35">
      <c r="A64" s="41"/>
      <c r="B64" s="41"/>
      <c r="C64" s="41"/>
      <c r="D64" s="41"/>
      <c r="E64" s="41"/>
      <c r="F64" s="42"/>
      <c r="G64" s="42"/>
      <c r="H64" s="42"/>
      <c r="I64" s="43"/>
      <c r="J64" s="13"/>
      <c r="K64" s="13"/>
      <c r="L64" s="44"/>
      <c r="M64" s="13"/>
      <c r="N64" s="13"/>
      <c r="O64" s="13"/>
      <c r="P64" s="45"/>
      <c r="Q64" s="45"/>
      <c r="R64" s="46"/>
      <c r="S64" s="47"/>
      <c r="T64" s="47"/>
      <c r="U64" s="13"/>
      <c r="V64" s="48"/>
      <c r="W64" s="49"/>
      <c r="X64" s="49"/>
      <c r="Y64" s="48"/>
      <c r="Z64" s="48"/>
      <c r="AA64" s="50"/>
      <c r="AB64" s="51"/>
      <c r="AC64" s="48"/>
      <c r="AD64" s="52"/>
      <c r="AE64" s="52"/>
      <c r="AF64" s="52"/>
      <c r="AG64" s="52"/>
      <c r="AH64" s="53"/>
      <c r="AI64" s="14"/>
      <c r="AJ64" s="15"/>
      <c r="AK64" s="48"/>
      <c r="AL64" s="53"/>
      <c r="AM64" s="53"/>
      <c r="AN64" s="54"/>
      <c r="AO64" s="54"/>
      <c r="AP64" s="54"/>
      <c r="AQ64" s="54"/>
      <c r="AR64" s="55"/>
      <c r="AS64" s="55"/>
      <c r="AT64" s="55"/>
      <c r="AU64" s="55"/>
      <c r="AV64" s="56"/>
      <c r="AW64" s="57"/>
      <c r="AX64" s="57"/>
      <c r="AY64" s="57"/>
      <c r="AZ64" s="57"/>
      <c r="BA64" s="58"/>
      <c r="BB64" s="16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</row>
    <row r="65" spans="1:73" ht="60" customHeight="1" x14ac:dyDescent="0.35">
      <c r="A65" s="41"/>
      <c r="B65" s="41"/>
      <c r="C65" s="41"/>
      <c r="D65" s="41"/>
      <c r="E65" s="41"/>
      <c r="F65" s="42"/>
      <c r="G65" s="42"/>
      <c r="H65" s="42"/>
      <c r="I65" s="43"/>
      <c r="J65" s="13"/>
      <c r="K65" s="13"/>
      <c r="L65" s="44"/>
      <c r="M65" s="13"/>
      <c r="N65" s="13"/>
      <c r="O65" s="13"/>
      <c r="P65" s="45"/>
      <c r="Q65" s="45"/>
      <c r="R65" s="46"/>
      <c r="S65" s="47"/>
      <c r="T65" s="47"/>
      <c r="U65" s="13"/>
      <c r="V65" s="48"/>
      <c r="W65" s="49"/>
      <c r="X65" s="49"/>
      <c r="Y65" s="48"/>
      <c r="Z65" s="48"/>
      <c r="AA65" s="50"/>
      <c r="AB65" s="51"/>
      <c r="AC65" s="48"/>
      <c r="AD65" s="52"/>
      <c r="AE65" s="52"/>
      <c r="AF65" s="52"/>
      <c r="AG65" s="52"/>
      <c r="AH65" s="53"/>
      <c r="AI65" s="14"/>
      <c r="AJ65" s="15"/>
      <c r="AK65" s="48"/>
      <c r="AL65" s="53"/>
      <c r="AM65" s="53"/>
      <c r="AN65" s="54"/>
      <c r="AO65" s="54"/>
      <c r="AP65" s="54"/>
      <c r="AQ65" s="54"/>
      <c r="AR65" s="55"/>
      <c r="AS65" s="55"/>
      <c r="AT65" s="55"/>
      <c r="AU65" s="55"/>
      <c r="AV65" s="56"/>
      <c r="AW65" s="57"/>
      <c r="AX65" s="57"/>
      <c r="AY65" s="57"/>
      <c r="AZ65" s="57"/>
      <c r="BA65" s="58"/>
      <c r="BB65" s="16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</row>
    <row r="66" spans="1:73" ht="60" customHeight="1" x14ac:dyDescent="0.35">
      <c r="A66" s="41"/>
      <c r="B66" s="41"/>
      <c r="C66" s="41"/>
      <c r="D66" s="41"/>
      <c r="E66" s="41"/>
      <c r="F66" s="42"/>
      <c r="G66" s="42"/>
      <c r="H66" s="42"/>
      <c r="I66" s="43"/>
      <c r="J66" s="13"/>
      <c r="K66" s="13"/>
      <c r="L66" s="44"/>
      <c r="M66" s="13"/>
      <c r="N66" s="13"/>
      <c r="O66" s="13"/>
      <c r="P66" s="45"/>
      <c r="Q66" s="45"/>
      <c r="R66" s="46"/>
      <c r="S66" s="47"/>
      <c r="T66" s="47"/>
      <c r="U66" s="13"/>
      <c r="V66" s="48"/>
      <c r="W66" s="49"/>
      <c r="X66" s="49"/>
      <c r="Y66" s="48"/>
      <c r="Z66" s="48"/>
      <c r="AA66" s="50"/>
      <c r="AB66" s="51"/>
      <c r="AC66" s="48"/>
      <c r="AD66" s="52"/>
      <c r="AE66" s="52"/>
      <c r="AF66" s="52"/>
      <c r="AG66" s="52"/>
      <c r="AH66" s="53"/>
      <c r="AI66" s="14"/>
      <c r="AJ66" s="15"/>
      <c r="AK66" s="48"/>
      <c r="AL66" s="53"/>
      <c r="AM66" s="53"/>
      <c r="AN66" s="54"/>
      <c r="AO66" s="54"/>
      <c r="AP66" s="54"/>
      <c r="AQ66" s="54"/>
      <c r="AR66" s="55"/>
      <c r="AS66" s="55"/>
      <c r="AT66" s="55"/>
      <c r="AU66" s="55"/>
      <c r="AV66" s="56"/>
      <c r="AW66" s="57"/>
      <c r="AX66" s="57"/>
      <c r="AY66" s="57"/>
      <c r="AZ66" s="57"/>
      <c r="BA66" s="58"/>
      <c r="BB66" s="16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</row>
    <row r="67" spans="1:73" ht="60" customHeight="1" x14ac:dyDescent="0.35">
      <c r="A67" s="41"/>
      <c r="B67" s="41"/>
      <c r="C67" s="41"/>
      <c r="D67" s="41"/>
      <c r="E67" s="41"/>
      <c r="F67" s="42"/>
      <c r="G67" s="42"/>
      <c r="H67" s="42"/>
      <c r="I67" s="43"/>
      <c r="J67" s="13"/>
      <c r="K67" s="13"/>
      <c r="L67" s="44"/>
      <c r="M67" s="13"/>
      <c r="N67" s="13"/>
      <c r="O67" s="13"/>
      <c r="P67" s="45"/>
      <c r="Q67" s="45"/>
      <c r="R67" s="46"/>
      <c r="S67" s="47"/>
      <c r="T67" s="47"/>
      <c r="U67" s="13"/>
      <c r="V67" s="48"/>
      <c r="W67" s="49"/>
      <c r="X67" s="49"/>
      <c r="Y67" s="48"/>
      <c r="Z67" s="48"/>
      <c r="AA67" s="50"/>
      <c r="AB67" s="51"/>
      <c r="AC67" s="48"/>
      <c r="AD67" s="52"/>
      <c r="AE67" s="52"/>
      <c r="AF67" s="52"/>
      <c r="AG67" s="52"/>
      <c r="AH67" s="53"/>
      <c r="AI67" s="14"/>
      <c r="AJ67" s="15"/>
      <c r="AK67" s="48"/>
      <c r="AL67" s="53"/>
      <c r="AM67" s="53"/>
      <c r="AN67" s="54"/>
      <c r="AO67" s="54"/>
      <c r="AP67" s="54"/>
      <c r="AQ67" s="54"/>
      <c r="AR67" s="55"/>
      <c r="AS67" s="55"/>
      <c r="AT67" s="55"/>
      <c r="AU67" s="55"/>
      <c r="AV67" s="56"/>
      <c r="AW67" s="57"/>
      <c r="AX67" s="57"/>
      <c r="AY67" s="57"/>
      <c r="AZ67" s="57"/>
      <c r="BA67" s="58"/>
      <c r="BB67" s="16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</row>
    <row r="68" spans="1:73" ht="60" customHeight="1" x14ac:dyDescent="0.35">
      <c r="A68" s="41"/>
      <c r="B68" s="41"/>
      <c r="C68" s="41"/>
      <c r="D68" s="41"/>
      <c r="E68" s="41"/>
      <c r="F68" s="42"/>
      <c r="G68" s="42"/>
      <c r="H68" s="42"/>
      <c r="I68" s="43"/>
      <c r="J68" s="13"/>
      <c r="K68" s="13"/>
      <c r="L68" s="44"/>
      <c r="M68" s="13"/>
      <c r="N68" s="13"/>
      <c r="O68" s="13"/>
      <c r="P68" s="45"/>
      <c r="Q68" s="45"/>
      <c r="R68" s="46"/>
      <c r="S68" s="47"/>
      <c r="T68" s="47"/>
      <c r="U68" s="13"/>
      <c r="V68" s="48"/>
      <c r="W68" s="49"/>
      <c r="X68" s="49"/>
      <c r="Y68" s="48"/>
      <c r="Z68" s="48"/>
      <c r="AA68" s="50"/>
      <c r="AB68" s="51"/>
      <c r="AC68" s="48"/>
      <c r="AD68" s="52"/>
      <c r="AE68" s="52"/>
      <c r="AF68" s="52"/>
      <c r="AG68" s="52"/>
      <c r="AH68" s="53"/>
      <c r="AI68" s="14"/>
      <c r="AJ68" s="15"/>
      <c r="AK68" s="48"/>
      <c r="AL68" s="53"/>
      <c r="AM68" s="53"/>
      <c r="AN68" s="54"/>
      <c r="AO68" s="54"/>
      <c r="AP68" s="54"/>
      <c r="AQ68" s="54"/>
      <c r="AR68" s="55"/>
      <c r="AS68" s="55"/>
      <c r="AT68" s="55"/>
      <c r="AU68" s="55"/>
      <c r="AV68" s="56"/>
      <c r="AW68" s="57"/>
      <c r="AX68" s="57"/>
      <c r="AY68" s="57"/>
      <c r="AZ68" s="57"/>
      <c r="BA68" s="58"/>
      <c r="BB68" s="16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</row>
    <row r="69" spans="1:73" ht="60" customHeight="1" x14ac:dyDescent="0.35">
      <c r="A69" s="41"/>
      <c r="B69" s="41"/>
      <c r="C69" s="41"/>
      <c r="D69" s="41"/>
      <c r="E69" s="41"/>
      <c r="F69" s="42"/>
      <c r="G69" s="42"/>
      <c r="H69" s="42"/>
      <c r="I69" s="43"/>
      <c r="J69" s="13"/>
      <c r="K69" s="13"/>
      <c r="L69" s="44"/>
      <c r="M69" s="13"/>
      <c r="N69" s="13"/>
      <c r="O69" s="13"/>
      <c r="P69" s="45"/>
      <c r="Q69" s="45"/>
      <c r="R69" s="46"/>
      <c r="S69" s="47"/>
      <c r="T69" s="47"/>
      <c r="U69" s="13"/>
      <c r="V69" s="48"/>
      <c r="W69" s="49"/>
      <c r="X69" s="49"/>
      <c r="Y69" s="48"/>
      <c r="Z69" s="48"/>
      <c r="AA69" s="50"/>
      <c r="AB69" s="51"/>
      <c r="AC69" s="48"/>
      <c r="AD69" s="52"/>
      <c r="AE69" s="52"/>
      <c r="AF69" s="52"/>
      <c r="AG69" s="52"/>
      <c r="AH69" s="53"/>
      <c r="AI69" s="14"/>
      <c r="AJ69" s="15"/>
      <c r="AK69" s="48"/>
      <c r="AL69" s="53"/>
      <c r="AM69" s="53"/>
      <c r="AN69" s="54"/>
      <c r="AO69" s="54"/>
      <c r="AP69" s="54"/>
      <c r="AQ69" s="54"/>
      <c r="AR69" s="55"/>
      <c r="AS69" s="55"/>
      <c r="AT69" s="55"/>
      <c r="AU69" s="55"/>
      <c r="AV69" s="56"/>
      <c r="AW69" s="57"/>
      <c r="AX69" s="57"/>
      <c r="AY69" s="57"/>
      <c r="AZ69" s="57"/>
      <c r="BA69" s="58"/>
      <c r="BB69" s="16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</row>
    <row r="70" spans="1:73" ht="60" customHeight="1" x14ac:dyDescent="0.35">
      <c r="A70" s="41"/>
      <c r="B70" s="41"/>
      <c r="C70" s="41"/>
      <c r="D70" s="41"/>
      <c r="E70" s="41"/>
      <c r="F70" s="42"/>
      <c r="G70" s="42"/>
      <c r="H70" s="42"/>
      <c r="I70" s="43"/>
      <c r="J70" s="13"/>
      <c r="K70" s="13"/>
      <c r="L70" s="44"/>
      <c r="M70" s="13"/>
      <c r="N70" s="13"/>
      <c r="O70" s="13"/>
      <c r="P70" s="45"/>
      <c r="Q70" s="45"/>
      <c r="R70" s="46"/>
      <c r="S70" s="47"/>
      <c r="T70" s="47"/>
      <c r="U70" s="13"/>
      <c r="V70" s="48"/>
      <c r="W70" s="49"/>
      <c r="X70" s="49"/>
      <c r="Y70" s="48"/>
      <c r="Z70" s="48"/>
      <c r="AA70" s="50"/>
      <c r="AB70" s="51"/>
      <c r="AC70" s="48"/>
      <c r="AD70" s="52"/>
      <c r="AE70" s="52"/>
      <c r="AF70" s="52"/>
      <c r="AG70" s="52"/>
      <c r="AH70" s="53"/>
      <c r="AI70" s="14"/>
      <c r="AJ70" s="15"/>
      <c r="AK70" s="48"/>
      <c r="AL70" s="53"/>
      <c r="AM70" s="53"/>
      <c r="AN70" s="54"/>
      <c r="AO70" s="54"/>
      <c r="AP70" s="54"/>
      <c r="AQ70" s="54"/>
      <c r="AR70" s="55"/>
      <c r="AS70" s="55"/>
      <c r="AT70" s="55"/>
      <c r="AU70" s="55"/>
      <c r="AV70" s="56"/>
      <c r="AW70" s="57"/>
      <c r="AX70" s="57"/>
      <c r="AY70" s="57"/>
      <c r="AZ70" s="57"/>
      <c r="BA70" s="58"/>
      <c r="BB70" s="16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</row>
    <row r="71" spans="1:73" ht="60" customHeight="1" x14ac:dyDescent="0.35">
      <c r="A71" s="41"/>
      <c r="B71" s="41"/>
      <c r="C71" s="41"/>
      <c r="D71" s="41"/>
      <c r="E71" s="41"/>
      <c r="F71" s="42"/>
      <c r="G71" s="42"/>
      <c r="H71" s="42"/>
      <c r="I71" s="43"/>
      <c r="J71" s="13"/>
      <c r="K71" s="13"/>
      <c r="L71" s="44"/>
      <c r="M71" s="13"/>
      <c r="N71" s="13"/>
      <c r="O71" s="13"/>
      <c r="P71" s="45"/>
      <c r="Q71" s="45"/>
      <c r="R71" s="46"/>
      <c r="S71" s="47"/>
      <c r="T71" s="47"/>
      <c r="U71" s="13"/>
      <c r="V71" s="48"/>
      <c r="W71" s="49"/>
      <c r="X71" s="49"/>
      <c r="Y71" s="48"/>
      <c r="Z71" s="48"/>
      <c r="AA71" s="50"/>
      <c r="AB71" s="51"/>
      <c r="AC71" s="48"/>
      <c r="AD71" s="52"/>
      <c r="AE71" s="52"/>
      <c r="AF71" s="52"/>
      <c r="AG71" s="52"/>
      <c r="AH71" s="53"/>
      <c r="AI71" s="14"/>
      <c r="AJ71" s="15"/>
      <c r="AK71" s="48"/>
      <c r="AL71" s="53"/>
      <c r="AM71" s="53"/>
      <c r="AN71" s="54"/>
      <c r="AO71" s="54"/>
      <c r="AP71" s="54"/>
      <c r="AQ71" s="54"/>
      <c r="AR71" s="55"/>
      <c r="AS71" s="55"/>
      <c r="AT71" s="55"/>
      <c r="AU71" s="55"/>
      <c r="AV71" s="56"/>
      <c r="AW71" s="57"/>
      <c r="AX71" s="57"/>
      <c r="AY71" s="57"/>
      <c r="AZ71" s="57"/>
      <c r="BA71" s="58"/>
      <c r="BB71" s="16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</row>
    <row r="72" spans="1:73" ht="60" customHeight="1" x14ac:dyDescent="0.35">
      <c r="A72" s="41"/>
      <c r="B72" s="41"/>
      <c r="C72" s="41"/>
      <c r="D72" s="41"/>
      <c r="E72" s="41"/>
      <c r="F72" s="42"/>
      <c r="G72" s="42"/>
      <c r="H72" s="42"/>
      <c r="I72" s="43"/>
      <c r="J72" s="13"/>
      <c r="K72" s="13"/>
      <c r="L72" s="44"/>
      <c r="M72" s="13"/>
      <c r="N72" s="13"/>
      <c r="O72" s="13"/>
      <c r="P72" s="45"/>
      <c r="Q72" s="45"/>
      <c r="R72" s="46"/>
      <c r="S72" s="47"/>
      <c r="T72" s="47"/>
      <c r="U72" s="13"/>
      <c r="V72" s="48"/>
      <c r="W72" s="49"/>
      <c r="X72" s="49"/>
      <c r="Y72" s="48"/>
      <c r="Z72" s="48"/>
      <c r="AA72" s="50"/>
      <c r="AB72" s="51"/>
      <c r="AC72" s="48"/>
      <c r="AD72" s="52"/>
      <c r="AE72" s="52"/>
      <c r="AF72" s="52"/>
      <c r="AG72" s="52"/>
      <c r="AH72" s="53"/>
      <c r="AI72" s="14"/>
      <c r="AJ72" s="15"/>
      <c r="AK72" s="48"/>
      <c r="AL72" s="53"/>
      <c r="AM72" s="53"/>
      <c r="AN72" s="54"/>
      <c r="AO72" s="54"/>
      <c r="AP72" s="54"/>
      <c r="AQ72" s="54"/>
      <c r="AR72" s="55"/>
      <c r="AS72" s="55"/>
      <c r="AT72" s="55"/>
      <c r="AU72" s="55"/>
      <c r="AV72" s="56"/>
      <c r="AW72" s="57"/>
      <c r="AX72" s="57"/>
      <c r="AY72" s="57"/>
      <c r="AZ72" s="57"/>
      <c r="BA72" s="58"/>
      <c r="BB72" s="16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</row>
    <row r="73" spans="1:73" ht="60" customHeight="1" x14ac:dyDescent="0.35">
      <c r="A73" s="41"/>
      <c r="B73" s="41"/>
      <c r="C73" s="41"/>
      <c r="D73" s="41"/>
      <c r="E73" s="41"/>
      <c r="F73" s="42"/>
      <c r="G73" s="42"/>
      <c r="H73" s="42"/>
      <c r="I73" s="43"/>
      <c r="J73" s="13"/>
      <c r="K73" s="13"/>
      <c r="L73" s="44"/>
      <c r="M73" s="13"/>
      <c r="N73" s="13"/>
      <c r="O73" s="13"/>
      <c r="P73" s="45"/>
      <c r="Q73" s="45"/>
      <c r="R73" s="46"/>
      <c r="S73" s="47"/>
      <c r="T73" s="47"/>
      <c r="U73" s="13"/>
      <c r="V73" s="48"/>
      <c r="W73" s="49"/>
      <c r="X73" s="49"/>
      <c r="Y73" s="48"/>
      <c r="Z73" s="48"/>
      <c r="AA73" s="50"/>
      <c r="AB73" s="51"/>
      <c r="AC73" s="48"/>
      <c r="AD73" s="52"/>
      <c r="AE73" s="52"/>
      <c r="AF73" s="52"/>
      <c r="AG73" s="52"/>
      <c r="AH73" s="53"/>
      <c r="AI73" s="14"/>
      <c r="AJ73" s="15"/>
      <c r="AK73" s="48"/>
      <c r="AL73" s="53"/>
      <c r="AM73" s="53"/>
      <c r="AN73" s="54"/>
      <c r="AO73" s="54"/>
      <c r="AP73" s="54"/>
      <c r="AQ73" s="54"/>
      <c r="AR73" s="55"/>
      <c r="AS73" s="55"/>
      <c r="AT73" s="55"/>
      <c r="AU73" s="55"/>
      <c r="AV73" s="56"/>
      <c r="AW73" s="57"/>
      <c r="AX73" s="57"/>
      <c r="AY73" s="57"/>
      <c r="AZ73" s="57"/>
      <c r="BA73" s="58"/>
      <c r="BB73" s="16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</row>
    <row r="74" spans="1:73" ht="60" customHeight="1" x14ac:dyDescent="0.35">
      <c r="A74" s="41"/>
      <c r="B74" s="41"/>
      <c r="C74" s="41"/>
      <c r="D74" s="41"/>
      <c r="E74" s="41"/>
      <c r="F74" s="42"/>
      <c r="G74" s="42"/>
      <c r="H74" s="42"/>
      <c r="I74" s="43"/>
      <c r="J74" s="13"/>
      <c r="K74" s="13"/>
      <c r="L74" s="44"/>
      <c r="M74" s="13"/>
      <c r="N74" s="13"/>
      <c r="O74" s="13"/>
      <c r="P74" s="45"/>
      <c r="Q74" s="45"/>
      <c r="R74" s="46"/>
      <c r="S74" s="47"/>
      <c r="T74" s="47"/>
      <c r="U74" s="13"/>
      <c r="V74" s="48"/>
      <c r="W74" s="49"/>
      <c r="X74" s="49"/>
      <c r="Y74" s="48"/>
      <c r="Z74" s="48"/>
      <c r="AA74" s="50"/>
      <c r="AB74" s="51"/>
      <c r="AC74" s="48"/>
      <c r="AD74" s="52"/>
      <c r="AE74" s="52"/>
      <c r="AF74" s="52"/>
      <c r="AG74" s="52"/>
      <c r="AH74" s="53"/>
      <c r="AI74" s="14"/>
      <c r="AJ74" s="15"/>
      <c r="AK74" s="48"/>
      <c r="AL74" s="53"/>
      <c r="AM74" s="53"/>
      <c r="AN74" s="54"/>
      <c r="AO74" s="54"/>
      <c r="AP74" s="54"/>
      <c r="AQ74" s="54"/>
      <c r="AR74" s="55"/>
      <c r="AS74" s="55"/>
      <c r="AT74" s="55"/>
      <c r="AU74" s="55"/>
      <c r="AV74" s="56"/>
      <c r="AW74" s="57"/>
      <c r="AX74" s="57"/>
      <c r="AY74" s="57"/>
      <c r="AZ74" s="57"/>
      <c r="BA74" s="58"/>
      <c r="BB74" s="16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</row>
    <row r="75" spans="1:73" ht="60" customHeight="1" x14ac:dyDescent="0.35">
      <c r="A75" s="41"/>
      <c r="B75" s="41"/>
      <c r="C75" s="41"/>
      <c r="D75" s="41"/>
      <c r="E75" s="41"/>
      <c r="F75" s="42"/>
      <c r="G75" s="42"/>
      <c r="H75" s="42"/>
      <c r="I75" s="43"/>
      <c r="J75" s="13"/>
      <c r="K75" s="13"/>
      <c r="L75" s="44"/>
      <c r="M75" s="13"/>
      <c r="N75" s="13"/>
      <c r="O75" s="13"/>
      <c r="P75" s="45"/>
      <c r="Q75" s="45"/>
      <c r="R75" s="46"/>
      <c r="S75" s="47"/>
      <c r="T75" s="47"/>
      <c r="U75" s="13"/>
      <c r="V75" s="48"/>
      <c r="W75" s="49"/>
      <c r="X75" s="49"/>
      <c r="Y75" s="48"/>
      <c r="Z75" s="48"/>
      <c r="AA75" s="50"/>
      <c r="AB75" s="51"/>
      <c r="AC75" s="48"/>
      <c r="AD75" s="52"/>
      <c r="AE75" s="52"/>
      <c r="AF75" s="52"/>
      <c r="AG75" s="52"/>
      <c r="AH75" s="53"/>
      <c r="AI75" s="14"/>
      <c r="AJ75" s="15"/>
      <c r="AK75" s="48"/>
      <c r="AL75" s="53"/>
      <c r="AM75" s="53"/>
      <c r="AN75" s="54"/>
      <c r="AO75" s="54"/>
      <c r="AP75" s="54"/>
      <c r="AQ75" s="54"/>
      <c r="AR75" s="55"/>
      <c r="AS75" s="55"/>
      <c r="AT75" s="55"/>
      <c r="AU75" s="55"/>
      <c r="AV75" s="56"/>
      <c r="AW75" s="57"/>
      <c r="AX75" s="57"/>
      <c r="AY75" s="57"/>
      <c r="AZ75" s="57"/>
      <c r="BA75" s="58"/>
      <c r="BB75" s="16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</row>
    <row r="76" spans="1:73" ht="60" customHeight="1" x14ac:dyDescent="0.35">
      <c r="A76" s="41"/>
      <c r="B76" s="41"/>
      <c r="C76" s="41"/>
      <c r="D76" s="41"/>
      <c r="E76" s="41"/>
      <c r="F76" s="42"/>
      <c r="G76" s="42"/>
      <c r="H76" s="42"/>
      <c r="I76" s="43"/>
      <c r="J76" s="13"/>
      <c r="K76" s="13"/>
      <c r="L76" s="44"/>
      <c r="M76" s="13"/>
      <c r="N76" s="13"/>
      <c r="O76" s="13"/>
      <c r="P76" s="45"/>
      <c r="Q76" s="45"/>
      <c r="R76" s="46"/>
      <c r="S76" s="47"/>
      <c r="T76" s="47"/>
      <c r="U76" s="13"/>
      <c r="V76" s="48"/>
      <c r="W76" s="49"/>
      <c r="X76" s="49"/>
      <c r="Y76" s="48"/>
      <c r="Z76" s="48"/>
      <c r="AA76" s="50"/>
      <c r="AB76" s="51"/>
      <c r="AC76" s="48"/>
      <c r="AD76" s="52"/>
      <c r="AE76" s="52"/>
      <c r="AF76" s="52"/>
      <c r="AG76" s="52"/>
      <c r="AH76" s="53"/>
      <c r="AI76" s="14"/>
      <c r="AJ76" s="15"/>
      <c r="AK76" s="48"/>
      <c r="AL76" s="53"/>
      <c r="AM76" s="53"/>
      <c r="AN76" s="54"/>
      <c r="AO76" s="54"/>
      <c r="AP76" s="54"/>
      <c r="AQ76" s="54"/>
      <c r="AR76" s="55"/>
      <c r="AS76" s="55"/>
      <c r="AT76" s="55"/>
      <c r="AU76" s="55"/>
      <c r="AV76" s="56"/>
      <c r="AW76" s="57"/>
      <c r="AX76" s="57"/>
      <c r="AY76" s="57"/>
      <c r="AZ76" s="57"/>
      <c r="BA76" s="58"/>
      <c r="BB76" s="16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</row>
    <row r="77" spans="1:73" ht="60" customHeight="1" x14ac:dyDescent="0.35">
      <c r="A77" s="41"/>
      <c r="B77" s="41"/>
      <c r="C77" s="41"/>
      <c r="D77" s="41"/>
      <c r="E77" s="41"/>
      <c r="F77" s="42"/>
      <c r="G77" s="42"/>
      <c r="H77" s="42"/>
      <c r="I77" s="43"/>
      <c r="J77" s="13"/>
      <c r="K77" s="13"/>
      <c r="L77" s="44"/>
      <c r="M77" s="13"/>
      <c r="N77" s="13"/>
      <c r="O77" s="13"/>
      <c r="P77" s="45"/>
      <c r="Q77" s="45"/>
      <c r="R77" s="46"/>
      <c r="S77" s="47"/>
      <c r="T77" s="47"/>
      <c r="U77" s="13"/>
      <c r="V77" s="48"/>
      <c r="W77" s="49"/>
      <c r="X77" s="49"/>
      <c r="Y77" s="48"/>
      <c r="Z77" s="48"/>
      <c r="AA77" s="50"/>
      <c r="AB77" s="51"/>
      <c r="AC77" s="48"/>
      <c r="AD77" s="52"/>
      <c r="AE77" s="52"/>
      <c r="AF77" s="52"/>
      <c r="AG77" s="52"/>
      <c r="AH77" s="53"/>
      <c r="AI77" s="14"/>
      <c r="AJ77" s="15"/>
      <c r="AK77" s="48"/>
      <c r="AL77" s="53"/>
      <c r="AM77" s="53"/>
      <c r="AN77" s="54"/>
      <c r="AO77" s="54"/>
      <c r="AP77" s="54"/>
      <c r="AQ77" s="54"/>
      <c r="AR77" s="55"/>
      <c r="AS77" s="55"/>
      <c r="AT77" s="55"/>
      <c r="AU77" s="55"/>
      <c r="AV77" s="56"/>
      <c r="AW77" s="57"/>
      <c r="AX77" s="57"/>
      <c r="AY77" s="57"/>
      <c r="AZ77" s="57"/>
      <c r="BA77" s="58"/>
      <c r="BB77" s="16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</row>
    <row r="78" spans="1:73" ht="60" customHeight="1" x14ac:dyDescent="0.35">
      <c r="A78" s="41"/>
      <c r="B78" s="41"/>
      <c r="C78" s="41"/>
      <c r="D78" s="41"/>
      <c r="E78" s="41"/>
      <c r="F78" s="42"/>
      <c r="G78" s="42"/>
      <c r="H78" s="42"/>
      <c r="I78" s="43"/>
      <c r="J78" s="13"/>
      <c r="K78" s="13"/>
      <c r="L78" s="44"/>
      <c r="M78" s="13"/>
      <c r="N78" s="13"/>
      <c r="O78" s="13"/>
      <c r="P78" s="45"/>
      <c r="Q78" s="45"/>
      <c r="R78" s="46"/>
      <c r="S78" s="47"/>
      <c r="T78" s="47"/>
      <c r="U78" s="13"/>
      <c r="V78" s="48"/>
      <c r="W78" s="49"/>
      <c r="X78" s="49"/>
      <c r="Y78" s="48"/>
      <c r="Z78" s="48"/>
      <c r="AA78" s="50"/>
      <c r="AB78" s="51"/>
      <c r="AC78" s="48"/>
      <c r="AD78" s="52"/>
      <c r="AE78" s="52"/>
      <c r="AF78" s="52"/>
      <c r="AG78" s="52"/>
      <c r="AH78" s="53"/>
      <c r="AI78" s="14"/>
      <c r="AJ78" s="15"/>
      <c r="AK78" s="48"/>
      <c r="AL78" s="53"/>
      <c r="AM78" s="53"/>
      <c r="AN78" s="54"/>
      <c r="AO78" s="54"/>
      <c r="AP78" s="54"/>
      <c r="AQ78" s="54"/>
      <c r="AR78" s="55"/>
      <c r="AS78" s="55"/>
      <c r="AT78" s="55"/>
      <c r="AU78" s="55"/>
      <c r="AV78" s="56"/>
      <c r="AW78" s="57"/>
      <c r="AX78" s="57"/>
      <c r="AY78" s="57"/>
      <c r="AZ78" s="57"/>
      <c r="BA78" s="58"/>
      <c r="BB78" s="16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</row>
    <row r="79" spans="1:73" ht="60" customHeight="1" x14ac:dyDescent="0.35">
      <c r="A79" s="41"/>
      <c r="B79" s="41"/>
      <c r="C79" s="41"/>
      <c r="D79" s="41"/>
      <c r="E79" s="41"/>
      <c r="F79" s="42"/>
      <c r="G79" s="42"/>
      <c r="H79" s="42"/>
      <c r="I79" s="43"/>
      <c r="J79" s="13"/>
      <c r="K79" s="13"/>
      <c r="L79" s="44"/>
      <c r="M79" s="13"/>
      <c r="N79" s="13"/>
      <c r="O79" s="13"/>
      <c r="P79" s="45"/>
      <c r="Q79" s="45"/>
      <c r="R79" s="46"/>
      <c r="S79" s="47"/>
      <c r="T79" s="47"/>
      <c r="U79" s="13"/>
      <c r="V79" s="48"/>
      <c r="W79" s="49"/>
      <c r="X79" s="49"/>
      <c r="Y79" s="48"/>
      <c r="Z79" s="48"/>
      <c r="AA79" s="50"/>
      <c r="AB79" s="51"/>
      <c r="AC79" s="48"/>
      <c r="AD79" s="52"/>
      <c r="AE79" s="52"/>
      <c r="AF79" s="52"/>
      <c r="AG79" s="52"/>
      <c r="AH79" s="53"/>
      <c r="AI79" s="14"/>
      <c r="AJ79" s="15"/>
      <c r="AK79" s="48"/>
      <c r="AL79" s="53"/>
      <c r="AM79" s="53"/>
      <c r="AN79" s="54"/>
      <c r="AO79" s="54"/>
      <c r="AP79" s="54"/>
      <c r="AQ79" s="54"/>
      <c r="AR79" s="55"/>
      <c r="AS79" s="55"/>
      <c r="AT79" s="55"/>
      <c r="AU79" s="55"/>
      <c r="AV79" s="56"/>
      <c r="AW79" s="57"/>
      <c r="AX79" s="57"/>
      <c r="AY79" s="57"/>
      <c r="AZ79" s="57"/>
      <c r="BA79" s="58"/>
      <c r="BB79" s="16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</row>
    <row r="80" spans="1:73" ht="60" customHeight="1" x14ac:dyDescent="0.35">
      <c r="A80" s="41"/>
      <c r="B80" s="41"/>
      <c r="C80" s="41"/>
      <c r="D80" s="41"/>
      <c r="E80" s="41"/>
      <c r="F80" s="42"/>
      <c r="G80" s="42"/>
      <c r="H80" s="42"/>
      <c r="I80" s="43"/>
      <c r="J80" s="13"/>
      <c r="K80" s="13"/>
      <c r="L80" s="44"/>
      <c r="M80" s="13"/>
      <c r="N80" s="13"/>
      <c r="O80" s="13"/>
      <c r="P80" s="45"/>
      <c r="Q80" s="45"/>
      <c r="R80" s="46"/>
      <c r="S80" s="47"/>
      <c r="T80" s="47"/>
      <c r="U80" s="13"/>
      <c r="V80" s="48"/>
      <c r="W80" s="49"/>
      <c r="X80" s="49"/>
      <c r="Y80" s="48"/>
      <c r="Z80" s="48"/>
      <c r="AA80" s="50"/>
      <c r="AB80" s="51"/>
      <c r="AC80" s="48"/>
      <c r="AD80" s="52"/>
      <c r="AE80" s="52"/>
      <c r="AF80" s="52"/>
      <c r="AG80" s="52"/>
      <c r="AH80" s="53"/>
      <c r="AI80" s="14"/>
      <c r="AJ80" s="15"/>
      <c r="AK80" s="48"/>
      <c r="AL80" s="53"/>
      <c r="AM80" s="53"/>
      <c r="AN80" s="54"/>
      <c r="AO80" s="54"/>
      <c r="AP80" s="54"/>
      <c r="AQ80" s="54"/>
      <c r="AR80" s="55"/>
      <c r="AS80" s="55"/>
      <c r="AT80" s="55"/>
      <c r="AU80" s="55"/>
      <c r="AV80" s="56"/>
      <c r="AW80" s="57"/>
      <c r="AX80" s="57"/>
      <c r="AY80" s="57"/>
      <c r="AZ80" s="57"/>
      <c r="BA80" s="58"/>
      <c r="BB80" s="16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</row>
    <row r="81" spans="1:73" ht="60" customHeight="1" x14ac:dyDescent="0.35">
      <c r="A81" s="41"/>
      <c r="B81" s="41"/>
      <c r="C81" s="41"/>
      <c r="D81" s="41"/>
      <c r="E81" s="41"/>
      <c r="F81" s="42"/>
      <c r="G81" s="42"/>
      <c r="H81" s="42"/>
      <c r="I81" s="43"/>
      <c r="J81" s="13"/>
      <c r="K81" s="13"/>
      <c r="L81" s="44"/>
      <c r="M81" s="13"/>
      <c r="N81" s="13"/>
      <c r="O81" s="13"/>
      <c r="P81" s="45"/>
      <c r="Q81" s="45"/>
      <c r="R81" s="46"/>
      <c r="S81" s="47"/>
      <c r="T81" s="47"/>
      <c r="U81" s="13"/>
      <c r="V81" s="48"/>
      <c r="W81" s="49"/>
      <c r="X81" s="49"/>
      <c r="Y81" s="48"/>
      <c r="Z81" s="48"/>
      <c r="AA81" s="50"/>
      <c r="AB81" s="51"/>
      <c r="AC81" s="48"/>
      <c r="AD81" s="52"/>
      <c r="AE81" s="52"/>
      <c r="AF81" s="52"/>
      <c r="AG81" s="52"/>
      <c r="AH81" s="53"/>
      <c r="AI81" s="14"/>
      <c r="AJ81" s="15"/>
      <c r="AK81" s="48"/>
      <c r="AL81" s="53"/>
      <c r="AM81" s="53"/>
      <c r="AN81" s="54"/>
      <c r="AO81" s="54"/>
      <c r="AP81" s="54"/>
      <c r="AQ81" s="54"/>
      <c r="AR81" s="55"/>
      <c r="AS81" s="55"/>
      <c r="AT81" s="55"/>
      <c r="AU81" s="55"/>
      <c r="AV81" s="56"/>
      <c r="AW81" s="57"/>
      <c r="AX81" s="57"/>
      <c r="AY81" s="57"/>
      <c r="AZ81" s="57"/>
      <c r="BA81" s="58"/>
      <c r="BB81" s="16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</row>
    <row r="82" spans="1:73" ht="60" customHeight="1" x14ac:dyDescent="0.35">
      <c r="A82" s="41"/>
      <c r="B82" s="41"/>
      <c r="C82" s="41"/>
      <c r="D82" s="41"/>
      <c r="E82" s="41"/>
      <c r="F82" s="42"/>
      <c r="G82" s="42"/>
      <c r="H82" s="42"/>
      <c r="I82" s="43"/>
      <c r="J82" s="13"/>
      <c r="K82" s="13"/>
      <c r="L82" s="44"/>
      <c r="M82" s="13"/>
      <c r="N82" s="13"/>
      <c r="O82" s="13"/>
      <c r="P82" s="45"/>
      <c r="Q82" s="45"/>
      <c r="R82" s="46"/>
      <c r="S82" s="47"/>
      <c r="T82" s="47"/>
      <c r="U82" s="13"/>
      <c r="V82" s="48"/>
      <c r="W82" s="49"/>
      <c r="X82" s="49"/>
      <c r="Y82" s="48"/>
      <c r="Z82" s="48"/>
      <c r="AA82" s="50"/>
      <c r="AB82" s="51"/>
      <c r="AC82" s="48"/>
      <c r="AD82" s="52"/>
      <c r="AE82" s="52"/>
      <c r="AF82" s="52"/>
      <c r="AG82" s="52"/>
      <c r="AH82" s="53"/>
      <c r="AI82" s="14"/>
      <c r="AJ82" s="15"/>
      <c r="AK82" s="48"/>
      <c r="AL82" s="53"/>
      <c r="AM82" s="53"/>
      <c r="AN82" s="54"/>
      <c r="AO82" s="54"/>
      <c r="AP82" s="54"/>
      <c r="AQ82" s="54"/>
      <c r="AR82" s="55"/>
      <c r="AS82" s="55"/>
      <c r="AT82" s="55"/>
      <c r="AU82" s="55"/>
      <c r="AV82" s="56"/>
      <c r="AW82" s="57"/>
      <c r="AX82" s="57"/>
      <c r="AY82" s="57"/>
      <c r="AZ82" s="57"/>
      <c r="BA82" s="58"/>
      <c r="BB82" s="16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</row>
    <row r="83" spans="1:73" ht="60" customHeight="1" x14ac:dyDescent="0.35">
      <c r="A83" s="41"/>
      <c r="B83" s="41"/>
      <c r="C83" s="41"/>
      <c r="D83" s="41"/>
      <c r="E83" s="41"/>
      <c r="F83" s="42"/>
      <c r="G83" s="42"/>
      <c r="H83" s="42"/>
      <c r="I83" s="43"/>
      <c r="J83" s="13"/>
      <c r="K83" s="13"/>
      <c r="L83" s="44"/>
      <c r="M83" s="13"/>
      <c r="N83" s="13"/>
      <c r="O83" s="13"/>
      <c r="P83" s="45"/>
      <c r="Q83" s="45"/>
      <c r="R83" s="46"/>
      <c r="S83" s="47"/>
      <c r="T83" s="47"/>
      <c r="U83" s="13"/>
      <c r="V83" s="48"/>
      <c r="W83" s="49"/>
      <c r="X83" s="49"/>
      <c r="Y83" s="48"/>
      <c r="Z83" s="48"/>
      <c r="AA83" s="50"/>
      <c r="AB83" s="51"/>
      <c r="AC83" s="48"/>
      <c r="AD83" s="52"/>
      <c r="AE83" s="52"/>
      <c r="AF83" s="52"/>
      <c r="AG83" s="52"/>
      <c r="AH83" s="53"/>
      <c r="AI83" s="14"/>
      <c r="AJ83" s="15"/>
      <c r="AK83" s="48"/>
      <c r="AL83" s="53"/>
      <c r="AM83" s="53"/>
      <c r="AN83" s="54"/>
      <c r="AO83" s="54"/>
      <c r="AP83" s="54"/>
      <c r="AQ83" s="54"/>
      <c r="AR83" s="55"/>
      <c r="AS83" s="55"/>
      <c r="AT83" s="55"/>
      <c r="AU83" s="55"/>
      <c r="AV83" s="56"/>
      <c r="AW83" s="57"/>
      <c r="AX83" s="57"/>
      <c r="AY83" s="57"/>
      <c r="AZ83" s="57"/>
      <c r="BA83" s="58"/>
      <c r="BB83" s="16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</row>
    <row r="84" spans="1:73" s="5" customFormat="1" ht="60" customHeight="1" x14ac:dyDescent="0.45">
      <c r="A84" s="1"/>
      <c r="B84" s="1"/>
      <c r="C84" s="1"/>
      <c r="D84" s="1"/>
      <c r="E84" s="1"/>
      <c r="F84" s="1"/>
      <c r="G84" s="1"/>
      <c r="H84" s="1"/>
      <c r="R84" s="4"/>
      <c r="U84" s="6"/>
      <c r="V84" s="7"/>
      <c r="W84" s="7"/>
      <c r="X84" s="7"/>
      <c r="Y84" s="8"/>
      <c r="Z84" s="8"/>
      <c r="AX84" s="11"/>
      <c r="AY84" s="11"/>
      <c r="AZ84" s="11"/>
      <c r="BA84" s="11"/>
    </row>
    <row r="85" spans="1:73" s="5" customFormat="1" ht="60" customHeight="1" x14ac:dyDescent="0.45">
      <c r="A85" s="1"/>
      <c r="B85" s="1"/>
      <c r="C85" s="1"/>
      <c r="D85" s="1"/>
      <c r="E85" s="1"/>
      <c r="F85" s="1"/>
      <c r="G85" s="1"/>
      <c r="H85" s="1"/>
      <c r="R85" s="4"/>
      <c r="U85" s="6"/>
      <c r="V85" s="7"/>
      <c r="W85" s="7"/>
      <c r="X85" s="7"/>
      <c r="Y85" s="8"/>
      <c r="Z85" s="8"/>
      <c r="AX85" s="9"/>
      <c r="AY85" s="9"/>
      <c r="AZ85" s="9"/>
      <c r="BA85" s="9"/>
    </row>
    <row r="86" spans="1:73" s="5" customFormat="1" ht="60" customHeight="1" x14ac:dyDescent="0.45">
      <c r="A86" s="1"/>
      <c r="B86" s="1"/>
      <c r="C86" s="1"/>
      <c r="D86" s="1"/>
      <c r="E86" s="1"/>
      <c r="F86" s="1"/>
      <c r="G86" s="1"/>
      <c r="H86" s="1"/>
      <c r="R86" s="4"/>
      <c r="U86" s="6"/>
      <c r="V86" s="7"/>
      <c r="W86" s="7"/>
      <c r="X86" s="7"/>
      <c r="Y86" s="8"/>
      <c r="Z86" s="8"/>
      <c r="AX86" s="9"/>
      <c r="AY86" s="9"/>
      <c r="AZ86" s="9"/>
      <c r="BA86" s="10"/>
    </row>
    <row r="87" spans="1:73" s="5" customFormat="1" ht="60" customHeight="1" x14ac:dyDescent="0.45">
      <c r="A87" s="1"/>
      <c r="B87" s="1"/>
      <c r="C87" s="1"/>
      <c r="D87" s="1"/>
      <c r="E87" s="1"/>
      <c r="F87" s="1"/>
      <c r="G87" s="1"/>
      <c r="H87" s="1"/>
      <c r="R87" s="4"/>
      <c r="U87" s="6"/>
      <c r="V87" s="7"/>
      <c r="W87" s="7"/>
      <c r="X87" s="7"/>
      <c r="Y87" s="8"/>
      <c r="Z87" s="8"/>
      <c r="AX87" s="6"/>
      <c r="AY87" s="6"/>
      <c r="AZ87" s="6"/>
      <c r="BA87" s="6"/>
    </row>
    <row r="88" spans="1:73" s="5" customFormat="1" ht="60" customHeight="1" x14ac:dyDescent="0.45">
      <c r="A88" s="1"/>
      <c r="B88" s="1"/>
      <c r="C88" s="1"/>
      <c r="D88" s="1"/>
      <c r="E88" s="1"/>
      <c r="F88" s="1"/>
      <c r="G88" s="1"/>
      <c r="H88" s="1"/>
      <c r="R88" s="4"/>
      <c r="U88" s="6"/>
      <c r="V88" s="7"/>
      <c r="W88" s="7"/>
      <c r="X88" s="7"/>
      <c r="Y88" s="8"/>
      <c r="Z88" s="8"/>
      <c r="AX88" s="12"/>
      <c r="AY88" s="12"/>
      <c r="AZ88" s="12"/>
      <c r="BA88" s="12"/>
    </row>
    <row r="89" spans="1:73" s="5" customFormat="1" ht="60" customHeight="1" x14ac:dyDescent="0.45">
      <c r="A89" s="1"/>
      <c r="B89" s="1"/>
      <c r="C89" s="1"/>
      <c r="D89" s="1"/>
      <c r="E89" s="1"/>
      <c r="F89" s="1"/>
      <c r="G89" s="1"/>
      <c r="H89" s="1"/>
      <c r="R89" s="4"/>
      <c r="U89" s="6"/>
      <c r="V89" s="7"/>
      <c r="W89" s="7"/>
      <c r="X89" s="7"/>
      <c r="Y89" s="8"/>
      <c r="Z89" s="8"/>
    </row>
    <row r="90" spans="1:73" s="5" customFormat="1" ht="60" customHeight="1" x14ac:dyDescent="0.45">
      <c r="A90" s="1"/>
      <c r="B90" s="1"/>
      <c r="C90" s="1"/>
      <c r="D90" s="1"/>
      <c r="E90" s="1"/>
      <c r="F90" s="1"/>
      <c r="G90" s="1"/>
      <c r="H90" s="1"/>
      <c r="R90" s="4"/>
      <c r="U90" s="6"/>
      <c r="V90" s="7"/>
      <c r="W90" s="7"/>
      <c r="X90" s="7"/>
      <c r="Y90" s="8"/>
      <c r="Z90" s="8"/>
    </row>
  </sheetData>
  <autoFilter ref="A1:BU38" xr:uid="{00000000-0001-0000-0000-000000000000}">
    <filterColumn colId="54" showButton="0"/>
    <filterColumn colId="56" showButton="0"/>
    <filterColumn colId="61" showButton="0"/>
    <filterColumn colId="63" showButton="0"/>
    <filterColumn colId="65" showButton="0"/>
    <filterColumn colId="67" showButton="0"/>
    <filterColumn colId="69" showButton="0"/>
    <filterColumn colId="71" showButton="0"/>
  </autoFilter>
  <sortState xmlns:xlrd2="http://schemas.microsoft.com/office/spreadsheetml/2017/richdata2" ref="A1:BV38">
    <sortCondition ref="M4:M988"/>
  </sortState>
  <mergeCells count="68">
    <mergeCell ref="BP1:BQ1"/>
    <mergeCell ref="BR1:BS1"/>
    <mergeCell ref="BT1:BU1"/>
    <mergeCell ref="BC1:BD1"/>
    <mergeCell ref="BE1:BF1"/>
    <mergeCell ref="BJ1:BK1"/>
    <mergeCell ref="BL1:BM1"/>
    <mergeCell ref="BN1:BO1"/>
    <mergeCell ref="A2:A3"/>
    <mergeCell ref="B2:B3"/>
    <mergeCell ref="C2:C3"/>
    <mergeCell ref="E2:E3"/>
    <mergeCell ref="F2:H2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D2"/>
    <mergeCell ref="BE2:BF2"/>
    <mergeCell ref="BG2:BH2"/>
    <mergeCell ref="BJ2:BK2"/>
    <mergeCell ref="BL2:BM2"/>
    <mergeCell ref="BN2:BO2"/>
    <mergeCell ref="BP2:BQ2"/>
    <mergeCell ref="BR2:BS2"/>
    <mergeCell ref="BT2:BU2"/>
  </mergeCells>
  <conditionalFormatting sqref="W1:W5 W8 W19:W36 W39:W1048576 W11:W15">
    <cfRule type="containsText" dxfId="2" priority="1" operator="containsText" text="ремонт">
      <formula>NOT(ISERROR(SEARCH("ремонт",W1)))</formula>
    </cfRule>
    <cfRule type="containsText" dxfId="1" priority="2" operator="containsText" text="повірка">
      <formula>NOT(ISERROR(SEARCH("повірка",W1)))</formula>
    </cfRule>
    <cfRule type="containsText" dxfId="0" priority="3" operator="containsText" text="повірка">
      <formula>NOT(ISERROR(SEARCH("повірка",W1)))</formula>
    </cfRule>
  </conditionalFormatting>
  <pageMargins left="0.70866141732283472" right="0.70866141732283472" top="0.74803149606299213" bottom="0.47" header="0.31496062992125984" footer="0.31496062992125984"/>
  <pageSetup paperSize="9" scale="47" fitToHeight="0" orientation="landscape" verticalDpi="1200" r:id="rId1"/>
  <rowBreaks count="1" manualBreakCount="1">
    <brk id="19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Загальний список</vt:lpstr>
      <vt:lpstr>Оперативний облік</vt:lpstr>
      <vt:lpstr>Службовий</vt:lpstr>
      <vt:lpstr>'Загальний список'!Область_печати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2025-10-26T19:49:10Z</dcterms:modified>
</cp:coreProperties>
</file>